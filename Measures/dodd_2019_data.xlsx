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22"/>
  <workbookPr/>
  <mc:AlternateContent xmlns:mc="http://schemas.openxmlformats.org/markup-compatibility/2006">
    <mc:Choice Requires="x15">
      <x15ac:absPath xmlns:x15ac="http://schemas.microsoft.com/office/spreadsheetml/2010/11/ac" url="/Users/ggraham/Desktop/multiome_poa/Measures/"/>
    </mc:Choice>
  </mc:AlternateContent>
  <xr:revisionPtr revIDLastSave="0" documentId="8_{75B2307B-5091-D84B-859D-878E3D073A93}" xr6:coauthVersionLast="47" xr6:coauthVersionMax="47" xr10:uidLastSave="{00000000-0000-0000-0000-000000000000}"/>
  <bookViews>
    <workbookView xWindow="0" yWindow="780" windowWidth="23040" windowHeight="10460" xr2:uid="{00000000-000D-0000-FFFF-FFFF00000000}"/>
  </bookViews>
  <sheets>
    <sheet name="dataall" sheetId="1" r:id="rId1"/>
    <sheet name="Sheet3" sheetId="4" r:id="rId2"/>
    <sheet name="Sheet2" sheetId="3" r:id="rId3"/>
    <sheet name="Sheet1" sheetId="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0" i="1" l="1"/>
  <c r="Q31" i="1" s="1"/>
  <c r="E9" i="4" l="1"/>
  <c r="M20" i="1" l="1"/>
  <c r="K20" i="1"/>
  <c r="M45" i="1"/>
  <c r="M46" i="1"/>
  <c r="M47" i="1"/>
  <c r="M44" i="1"/>
  <c r="K45" i="1"/>
  <c r="K46" i="1"/>
  <c r="K47" i="1"/>
  <c r="K44" i="1"/>
  <c r="K27" i="1"/>
  <c r="K28" i="1"/>
  <c r="K29" i="1"/>
  <c r="K26" i="1"/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1" i="1"/>
  <c r="M22" i="1"/>
  <c r="M23" i="1"/>
  <c r="M24" i="1"/>
  <c r="M25" i="1"/>
  <c r="M26" i="1"/>
  <c r="M27" i="1"/>
  <c r="M28" i="1"/>
  <c r="M29" i="1"/>
  <c r="M30" i="1"/>
  <c r="M31" i="1"/>
  <c r="M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1" i="1"/>
  <c r="K22" i="1"/>
  <c r="K23" i="1"/>
  <c r="K24" i="1"/>
  <c r="K25" i="1"/>
  <c r="K30" i="1"/>
  <c r="K31" i="1"/>
  <c r="K2" i="1"/>
</calcChain>
</file>

<file path=xl/sharedStrings.xml><?xml version="1.0" encoding="utf-8"?>
<sst xmlns="http://schemas.openxmlformats.org/spreadsheetml/2006/main" count="467" uniqueCount="123">
  <si>
    <t>FishID</t>
  </si>
  <si>
    <t>Group</t>
  </si>
  <si>
    <t>sex</t>
  </si>
  <si>
    <t>time</t>
  </si>
  <si>
    <t>group2</t>
  </si>
  <si>
    <t>Tank</t>
  </si>
  <si>
    <t>length 1</t>
  </si>
  <si>
    <t>weight 1</t>
  </si>
  <si>
    <t>length 2</t>
  </si>
  <si>
    <t>weight 2</t>
  </si>
  <si>
    <t>Domint</t>
  </si>
  <si>
    <t>pertest</t>
  </si>
  <si>
    <t>E2</t>
  </si>
  <si>
    <t>KT11</t>
  </si>
  <si>
    <t>Cort</t>
  </si>
  <si>
    <t>POAdata</t>
  </si>
  <si>
    <t>hormdata</t>
  </si>
  <si>
    <t>pPOAsmall</t>
  </si>
  <si>
    <t>pPOAmedium</t>
  </si>
  <si>
    <t>pPOAlarge</t>
  </si>
  <si>
    <t>pPOAtotal</t>
  </si>
  <si>
    <t>pPOAarea</t>
  </si>
  <si>
    <t>mPOAsmall</t>
  </si>
  <si>
    <t>mPOAmedium</t>
  </si>
  <si>
    <t>mPOAlarge</t>
  </si>
  <si>
    <t>mPOAtotal</t>
  </si>
  <si>
    <t>mPOAarea</t>
  </si>
  <si>
    <t>gPOAsmall</t>
  </si>
  <si>
    <t>gPOAmedium</t>
  </si>
  <si>
    <t>gPOAlarge</t>
  </si>
  <si>
    <t>gPOAtotal</t>
  </si>
  <si>
    <t>gPOAarea</t>
  </si>
  <si>
    <t>id1</t>
  </si>
  <si>
    <t>amb</t>
  </si>
  <si>
    <t>3.wks</t>
  </si>
  <si>
    <t>3.wks.amb</t>
  </si>
  <si>
    <t>C15</t>
  </si>
  <si>
    <t>id2</t>
  </si>
  <si>
    <t>id3</t>
  </si>
  <si>
    <t>3.wks.D</t>
  </si>
  <si>
    <t>C24</t>
  </si>
  <si>
    <t>D</t>
  </si>
  <si>
    <t>id4</t>
  </si>
  <si>
    <t>3.wks.S</t>
  </si>
  <si>
    <t>S</t>
  </si>
  <si>
    <t>id5</t>
  </si>
  <si>
    <t>B23</t>
  </si>
  <si>
    <t>id6</t>
  </si>
  <si>
    <t>id7</t>
  </si>
  <si>
    <t>B25</t>
  </si>
  <si>
    <t>id8</t>
  </si>
  <si>
    <t>id9</t>
  </si>
  <si>
    <t>6.mon</t>
  </si>
  <si>
    <t>6.mon.D</t>
  </si>
  <si>
    <t>B12</t>
  </si>
  <si>
    <t>id10</t>
  </si>
  <si>
    <t>6.mon.S</t>
  </si>
  <si>
    <t>id11</t>
  </si>
  <si>
    <t>C12</t>
  </si>
  <si>
    <t>id12</t>
  </si>
  <si>
    <t>id13</t>
  </si>
  <si>
    <t>id14</t>
  </si>
  <si>
    <t>id15</t>
  </si>
  <si>
    <t>id16</t>
  </si>
  <si>
    <t>id17</t>
  </si>
  <si>
    <t>1.yr</t>
  </si>
  <si>
    <t>1.yr.S</t>
  </si>
  <si>
    <t>A24</t>
  </si>
  <si>
    <t>id18</t>
  </si>
  <si>
    <t>1.yr.D</t>
  </si>
  <si>
    <t>id19</t>
  </si>
  <si>
    <t>A13</t>
  </si>
  <si>
    <t>id20</t>
  </si>
  <si>
    <t>id21</t>
  </si>
  <si>
    <t>M</t>
  </si>
  <si>
    <t>id22</t>
  </si>
  <si>
    <t>F</t>
  </si>
  <si>
    <t>id23</t>
  </si>
  <si>
    <t>id24</t>
  </si>
  <si>
    <t>id25</t>
  </si>
  <si>
    <t>id26</t>
  </si>
  <si>
    <t>id27</t>
  </si>
  <si>
    <t>id28</t>
  </si>
  <si>
    <t>id29</t>
  </si>
  <si>
    <t>id30</t>
  </si>
  <si>
    <t>B24</t>
  </si>
  <si>
    <t>C13</t>
  </si>
  <si>
    <t>F1</t>
  </si>
  <si>
    <t>F2</t>
  </si>
  <si>
    <t>M1</t>
  </si>
  <si>
    <t>M2</t>
  </si>
  <si>
    <t>M3</t>
  </si>
  <si>
    <t>T10</t>
  </si>
  <si>
    <t xml:space="preserve">DT </t>
  </si>
  <si>
    <t>T8</t>
  </si>
  <si>
    <t>T6</t>
  </si>
  <si>
    <t>3.yr</t>
  </si>
  <si>
    <t>C23</t>
  </si>
  <si>
    <t>A25</t>
  </si>
  <si>
    <t>id31</t>
  </si>
  <si>
    <t>id32</t>
  </si>
  <si>
    <t>id33</t>
  </si>
  <si>
    <t>id34</t>
  </si>
  <si>
    <t>3.yr.D</t>
  </si>
  <si>
    <t>3.yr.S</t>
  </si>
  <si>
    <t>time2</t>
  </si>
  <si>
    <t>lendiff</t>
  </si>
  <si>
    <t>massdiff</t>
  </si>
  <si>
    <t>gonad</t>
  </si>
  <si>
    <t>t-Test: Paired Two Sample for Means</t>
  </si>
  <si>
    <t>Variable 1</t>
  </si>
  <si>
    <t>Variable 2</t>
  </si>
  <si>
    <t>Mean</t>
  </si>
  <si>
    <t>Variance</t>
  </si>
  <si>
    <t>Observations</t>
  </si>
  <si>
    <t>Pearson Correlation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</si>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</sst>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2" fontId="0" fillId="0" borderId="0" xfId="0" applyNumberFormat="1"/>
    <xf numFmtId="0" fontId="0" fillId="0" borderId="10" xfId="0" applyBorder="1"/>
    <xf numFmtId="0" fontId="18" fillId="0" borderId="11" xfId="0" applyFont="1" applyBorder="1" applyAlignment="1">
      <alignment horizontal="center"/>
    </xf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dataall!$B$2:$B$47</c:f>
              <c:numCache>
                <c:formatCode>General</c:formatCode>
                <c:ptCount val="4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5</c:v>
                </c:pt>
                <c:pt idx="35">
                  <c:v>5</c:v>
                </c:pt>
                <c:pt idx="36">
                  <c:v>5</c:v>
                </c:pt>
                <c:pt idx="37">
                  <c:v>5</c:v>
                </c:pt>
                <c:pt idx="38">
                  <c:v>5</c:v>
                </c:pt>
                <c:pt idx="39">
                  <c:v>5</c:v>
                </c:pt>
                <c:pt idx="40">
                  <c:v>5</c:v>
                </c:pt>
                <c:pt idx="41">
                  <c:v>5</c:v>
                </c:pt>
                <c:pt idx="42">
                  <c:v>4</c:v>
                </c:pt>
                <c:pt idx="43">
                  <c:v>4</c:v>
                </c:pt>
                <c:pt idx="44">
                  <c:v>4</c:v>
                </c:pt>
                <c:pt idx="45">
                  <c:v>4</c:v>
                </c:pt>
              </c:numCache>
            </c:numRef>
          </c:xVal>
          <c:yVal>
            <c:numRef>
              <c:f>dataall!$R$2:$R$47</c:f>
              <c:numCache>
                <c:formatCode>General</c:formatCode>
                <c:ptCount val="46"/>
                <c:pt idx="0">
                  <c:v>275.68</c:v>
                </c:pt>
                <c:pt idx="1">
                  <c:v>373.48</c:v>
                </c:pt>
                <c:pt idx="2">
                  <c:v>328.08</c:v>
                </c:pt>
                <c:pt idx="4">
                  <c:v>106.12</c:v>
                </c:pt>
                <c:pt idx="5">
                  <c:v>197.56</c:v>
                </c:pt>
                <c:pt idx="6">
                  <c:v>93.24</c:v>
                </c:pt>
                <c:pt idx="7">
                  <c:v>211.76</c:v>
                </c:pt>
                <c:pt idx="8">
                  <c:v>34.880000000000003</c:v>
                </c:pt>
                <c:pt idx="9">
                  <c:v>440.08</c:v>
                </c:pt>
                <c:pt idx="10">
                  <c:v>669.32</c:v>
                </c:pt>
                <c:pt idx="11">
                  <c:v>578.32000000000005</c:v>
                </c:pt>
                <c:pt idx="12">
                  <c:v>14.68</c:v>
                </c:pt>
                <c:pt idx="13">
                  <c:v>1147.72</c:v>
                </c:pt>
                <c:pt idx="17">
                  <c:v>169.08</c:v>
                </c:pt>
                <c:pt idx="18">
                  <c:v>714.12</c:v>
                </c:pt>
                <c:pt idx="19">
                  <c:v>147</c:v>
                </c:pt>
                <c:pt idx="20">
                  <c:v>616</c:v>
                </c:pt>
                <c:pt idx="21">
                  <c:v>46.8</c:v>
                </c:pt>
                <c:pt idx="22">
                  <c:v>383.68</c:v>
                </c:pt>
                <c:pt idx="24">
                  <c:v>645.83999999999992</c:v>
                </c:pt>
                <c:pt idx="25">
                  <c:v>320.64000000000004</c:v>
                </c:pt>
                <c:pt idx="26">
                  <c:v>90.210000000000008</c:v>
                </c:pt>
                <c:pt idx="27">
                  <c:v>156.12</c:v>
                </c:pt>
                <c:pt idx="32">
                  <c:v>32.760000000000005</c:v>
                </c:pt>
                <c:pt idx="33">
                  <c:v>14.34</c:v>
                </c:pt>
                <c:pt idx="34">
                  <c:v>691.35</c:v>
                </c:pt>
                <c:pt idx="35">
                  <c:v>884.64</c:v>
                </c:pt>
                <c:pt idx="42">
                  <c:v>934.5</c:v>
                </c:pt>
                <c:pt idx="44">
                  <c:v>32.549999999999997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5C-AA43-B88B-2AF019034A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1929056"/>
        <c:axId val="231928496"/>
      </c:scatterChart>
      <c:valAx>
        <c:axId val="231929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1928496"/>
        <c:crosses val="autoZero"/>
        <c:crossBetween val="midCat"/>
      </c:valAx>
      <c:valAx>
        <c:axId val="231928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1929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Sheet1!$J$1</c:f>
              <c:strCache>
                <c:ptCount val="1"/>
                <c:pt idx="0">
                  <c:v>pertest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Sheet1!$I$2:$I$47</c:f>
              <c:numCache>
                <c:formatCode>General</c:formatCode>
                <c:ptCount val="46"/>
                <c:pt idx="0">
                  <c:v>3247150</c:v>
                </c:pt>
                <c:pt idx="1">
                  <c:v>1827416.66666667</c:v>
                </c:pt>
                <c:pt idx="2">
                  <c:v>4103847.6666666665</c:v>
                </c:pt>
                <c:pt idx="3">
                  <c:v>3338820</c:v>
                </c:pt>
                <c:pt idx="4">
                  <c:v>4721606.666666667</c:v>
                </c:pt>
                <c:pt idx="5">
                  <c:v>4240711</c:v>
                </c:pt>
                <c:pt idx="6">
                  <c:v>1929856.6666666667</c:v>
                </c:pt>
                <c:pt idx="7">
                  <c:v>1762730</c:v>
                </c:pt>
                <c:pt idx="9">
                  <c:v>3529156.6666666665</c:v>
                </c:pt>
                <c:pt idx="10">
                  <c:v>2617773.9</c:v>
                </c:pt>
                <c:pt idx="11">
                  <c:v>2864775.3333333335</c:v>
                </c:pt>
                <c:pt idx="12">
                  <c:v>3317513.3333333335</c:v>
                </c:pt>
                <c:pt idx="13">
                  <c:v>3990022.6666666665</c:v>
                </c:pt>
                <c:pt idx="15">
                  <c:v>3712503.3333333335</c:v>
                </c:pt>
                <c:pt idx="16">
                  <c:v>1450263.3333333333</c:v>
                </c:pt>
                <c:pt idx="17">
                  <c:v>2604966.3333333335</c:v>
                </c:pt>
                <c:pt idx="18">
                  <c:v>1575293.3333333333</c:v>
                </c:pt>
                <c:pt idx="19">
                  <c:v>3355550.6666666665</c:v>
                </c:pt>
                <c:pt idx="20">
                  <c:v>5727076.333333333</c:v>
                </c:pt>
                <c:pt idx="22">
                  <c:v>2457673.3333333335</c:v>
                </c:pt>
                <c:pt idx="23">
                  <c:v>2018906.3333333333</c:v>
                </c:pt>
                <c:pt idx="24">
                  <c:v>3436486.6666666665</c:v>
                </c:pt>
                <c:pt idx="25">
                  <c:v>2403543.3333333335</c:v>
                </c:pt>
                <c:pt idx="26">
                  <c:v>3234357.3333333335</c:v>
                </c:pt>
                <c:pt idx="27">
                  <c:v>3232888.1999999997</c:v>
                </c:pt>
                <c:pt idx="28">
                  <c:v>2421146.6666666665</c:v>
                </c:pt>
                <c:pt idx="29">
                  <c:v>1668563.3333333333</c:v>
                </c:pt>
                <c:pt idx="31">
                  <c:v>2527026.6666666665</c:v>
                </c:pt>
                <c:pt idx="34">
                  <c:v>7223012.333333333</c:v>
                </c:pt>
                <c:pt idx="35">
                  <c:v>3561143.3333333335</c:v>
                </c:pt>
                <c:pt idx="36">
                  <c:v>4794947.333333333</c:v>
                </c:pt>
                <c:pt idx="38">
                  <c:v>5718933.333333333</c:v>
                </c:pt>
                <c:pt idx="39">
                  <c:v>4871766.666666667</c:v>
                </c:pt>
                <c:pt idx="40">
                  <c:v>4760830</c:v>
                </c:pt>
                <c:pt idx="41">
                  <c:v>5328631.5333333332</c:v>
                </c:pt>
                <c:pt idx="43">
                  <c:v>1239303.3333333333</c:v>
                </c:pt>
                <c:pt idx="45">
                  <c:v>3124796.6666666665</c:v>
                </c:pt>
              </c:numCache>
            </c:numRef>
          </c:xVal>
          <c:yVal>
            <c:numRef>
              <c:f>Sheet1!$J$2:$J$47</c:f>
              <c:numCache>
                <c:formatCode>General</c:formatCode>
                <c:ptCount val="46"/>
                <c:pt idx="0">
                  <c:v>0.50529999999999997</c:v>
                </c:pt>
                <c:pt idx="1">
                  <c:v>0.21304200000000001</c:v>
                </c:pt>
                <c:pt idx="2">
                  <c:v>0.51592499999999997</c:v>
                </c:pt>
                <c:pt idx="3">
                  <c:v>0.49557099999999998</c:v>
                </c:pt>
                <c:pt idx="4">
                  <c:v>0.51722363199999999</c:v>
                </c:pt>
                <c:pt idx="5">
                  <c:v>0.49557095499999998</c:v>
                </c:pt>
                <c:pt idx="6">
                  <c:v>0.51923428500000002</c:v>
                </c:pt>
                <c:pt idx="7">
                  <c:v>0.48608180299999998</c:v>
                </c:pt>
                <c:pt idx="9">
                  <c:v>0.38501191099999998</c:v>
                </c:pt>
                <c:pt idx="10">
                  <c:v>0.37145102600000002</c:v>
                </c:pt>
                <c:pt idx="11">
                  <c:v>0.238149579</c:v>
                </c:pt>
                <c:pt idx="12">
                  <c:v>0.19047191899999999</c:v>
                </c:pt>
                <c:pt idx="13">
                  <c:v>0.27843637900000001</c:v>
                </c:pt>
                <c:pt idx="14">
                  <c:v>0.25701329299999998</c:v>
                </c:pt>
                <c:pt idx="15">
                  <c:v>0.52052556900000002</c:v>
                </c:pt>
                <c:pt idx="16">
                  <c:v>9.0421546000000005E-2</c:v>
                </c:pt>
                <c:pt idx="17">
                  <c:v>0.14100915999999999</c:v>
                </c:pt>
                <c:pt idx="18">
                  <c:v>0.32169892999999999</c:v>
                </c:pt>
                <c:pt idx="19">
                  <c:v>0.23609560800000001</c:v>
                </c:pt>
                <c:pt idx="20">
                  <c:v>0.52563673399999999</c:v>
                </c:pt>
                <c:pt idx="22">
                  <c:v>8.1408392999999996E-2</c:v>
                </c:pt>
                <c:pt idx="23">
                  <c:v>3.2741929000000003E-2</c:v>
                </c:pt>
                <c:pt idx="24">
                  <c:v>0.48783319759264576</c:v>
                </c:pt>
                <c:pt idx="25">
                  <c:v>0.39664737661201888</c:v>
                </c:pt>
                <c:pt idx="26">
                  <c:v>0.56043882312830473</c:v>
                </c:pt>
                <c:pt idx="27">
                  <c:v>0.5563237362983563</c:v>
                </c:pt>
                <c:pt idx="28">
                  <c:v>0.63596152398734662</c:v>
                </c:pt>
                <c:pt idx="29">
                  <c:v>0.42476553930414629</c:v>
                </c:pt>
                <c:pt idx="31">
                  <c:v>0.69299999999999995</c:v>
                </c:pt>
                <c:pt idx="34">
                  <c:v>0.7450851557049134</c:v>
                </c:pt>
                <c:pt idx="35">
                  <c:v>0.7098486077940277</c:v>
                </c:pt>
                <c:pt idx="36">
                  <c:v>0.75446965011997014</c:v>
                </c:pt>
                <c:pt idx="38">
                  <c:v>0.86570000000000003</c:v>
                </c:pt>
                <c:pt idx="39">
                  <c:v>0.65900000000000003</c:v>
                </c:pt>
                <c:pt idx="40">
                  <c:v>0.64449999999999996</c:v>
                </c:pt>
                <c:pt idx="41">
                  <c:v>0.64700000000000002</c:v>
                </c:pt>
                <c:pt idx="43">
                  <c:v>0.17411149299118053</c:v>
                </c:pt>
                <c:pt idx="45">
                  <c:v>0.27252876024243161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3E8-A846-A4BD-FF39FF0999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4689440"/>
        <c:axId val="775169728"/>
      </c:scatterChart>
      <c:valAx>
        <c:axId val="774689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5169728"/>
        <c:crosses val="autoZero"/>
        <c:crossBetween val="midCat"/>
      </c:valAx>
      <c:valAx>
        <c:axId val="775169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4689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171449</xdr:colOff>
      <xdr:row>11</xdr:row>
      <xdr:rowOff>123825</xdr:rowOff>
    </xdr:from>
    <xdr:to>
      <xdr:col>33</xdr:col>
      <xdr:colOff>466725</xdr:colOff>
      <xdr:row>50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4</xdr:row>
      <xdr:rowOff>152400</xdr:rowOff>
    </xdr:from>
    <xdr:to>
      <xdr:col>21</xdr:col>
      <xdr:colOff>9525</xdr:colOff>
      <xdr:row>19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47"/>
  <sheetViews>
    <sheetView tabSelected="1" topLeftCell="H1" workbookViewId="0">
      <pane ySplit="1" topLeftCell="A12" activePane="bottomLeft" state="frozen"/>
      <selection pane="bottomLeft" activeCell="R14" sqref="A14:R15"/>
    </sheetView>
  </sheetViews>
  <sheetFormatPr baseColWidth="10" defaultColWidth="8.83203125" defaultRowHeight="15" x14ac:dyDescent="0.2"/>
  <cols>
    <col min="5" max="5" width="9.1640625" style="1"/>
  </cols>
  <sheetData>
    <row r="1" spans="1:36" x14ac:dyDescent="0.2">
      <c r="A1" t="s">
        <v>0</v>
      </c>
      <c r="B1" t="s">
        <v>1</v>
      </c>
      <c r="C1" t="s">
        <v>2</v>
      </c>
      <c r="D1" t="s">
        <v>3</v>
      </c>
      <c r="E1" s="1" t="s">
        <v>105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106</v>
      </c>
      <c r="L1" t="s">
        <v>9</v>
      </c>
      <c r="M1" t="s">
        <v>107</v>
      </c>
      <c r="N1" t="s">
        <v>10</v>
      </c>
      <c r="O1" t="s">
        <v>108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  <c r="AH1" t="s">
        <v>29</v>
      </c>
      <c r="AI1" t="s">
        <v>30</v>
      </c>
      <c r="AJ1" t="s">
        <v>31</v>
      </c>
    </row>
    <row r="2" spans="1:36" x14ac:dyDescent="0.2">
      <c r="A2" t="s">
        <v>32</v>
      </c>
      <c r="B2">
        <v>1</v>
      </c>
      <c r="C2" t="s">
        <v>33</v>
      </c>
      <c r="D2" t="s">
        <v>34</v>
      </c>
      <c r="E2" s="1">
        <v>0.75</v>
      </c>
      <c r="F2" t="s">
        <v>35</v>
      </c>
      <c r="G2" t="s">
        <v>36</v>
      </c>
      <c r="H2">
        <v>4.9000000000000004</v>
      </c>
      <c r="I2">
        <v>2.4300000000000002</v>
      </c>
      <c r="J2">
        <v>5</v>
      </c>
      <c r="K2">
        <f>J2-H2</f>
        <v>9.9999999999999645E-2</v>
      </c>
      <c r="L2">
        <v>2.65</v>
      </c>
      <c r="M2">
        <f>L2-I2</f>
        <v>0.21999999999999975</v>
      </c>
      <c r="O2">
        <v>3247150</v>
      </c>
      <c r="P2">
        <v>0.50529999999999997</v>
      </c>
      <c r="Q2">
        <v>177.06</v>
      </c>
      <c r="R2">
        <v>275.68</v>
      </c>
      <c r="T2">
        <v>0</v>
      </c>
      <c r="U2">
        <v>1</v>
      </c>
    </row>
    <row r="3" spans="1:36" x14ac:dyDescent="0.2">
      <c r="A3" t="s">
        <v>37</v>
      </c>
      <c r="B3">
        <v>1</v>
      </c>
      <c r="C3" t="s">
        <v>33</v>
      </c>
      <c r="D3" t="s">
        <v>34</v>
      </c>
      <c r="E3" s="1">
        <v>0.75</v>
      </c>
      <c r="F3" t="s">
        <v>35</v>
      </c>
      <c r="G3" t="s">
        <v>36</v>
      </c>
      <c r="H3">
        <v>5.0999999999999996</v>
      </c>
      <c r="I3">
        <v>2.42</v>
      </c>
      <c r="J3">
        <v>5.0999999999999996</v>
      </c>
      <c r="K3">
        <f t="shared" ref="K3:K31" si="0">J3-H3</f>
        <v>0</v>
      </c>
      <c r="L3">
        <v>2.65</v>
      </c>
      <c r="M3">
        <f t="shared" ref="M3:M31" si="1">L3-I3</f>
        <v>0.22999999999999998</v>
      </c>
      <c r="O3">
        <v>1827416.66666667</v>
      </c>
      <c r="P3">
        <v>0.21304200000000001</v>
      </c>
      <c r="Q3">
        <v>168.51900000000001</v>
      </c>
      <c r="R3">
        <v>373.48</v>
      </c>
      <c r="S3">
        <v>419680</v>
      </c>
      <c r="T3">
        <v>1</v>
      </c>
      <c r="U3">
        <v>1</v>
      </c>
      <c r="V3">
        <v>12657</v>
      </c>
      <c r="W3">
        <v>855</v>
      </c>
      <c r="X3">
        <v>3</v>
      </c>
      <c r="Y3">
        <v>13511</v>
      </c>
      <c r="Z3">
        <v>648751.85</v>
      </c>
      <c r="AA3">
        <v>10589.39948</v>
      </c>
      <c r="AB3">
        <v>723.99599509999996</v>
      </c>
      <c r="AC3">
        <v>130.58688480000001</v>
      </c>
      <c r="AD3">
        <v>11444.3688</v>
      </c>
      <c r="AE3">
        <v>565616.52489999996</v>
      </c>
      <c r="AF3">
        <v>7144.2859719999997</v>
      </c>
      <c r="AG3">
        <v>515.44409470000005</v>
      </c>
      <c r="AH3">
        <v>53.386117849999998</v>
      </c>
      <c r="AI3">
        <v>7626.8729780000003</v>
      </c>
      <c r="AJ3">
        <v>355505.5931</v>
      </c>
    </row>
    <row r="4" spans="1:36" x14ac:dyDescent="0.2">
      <c r="A4" t="s">
        <v>38</v>
      </c>
      <c r="B4">
        <v>1</v>
      </c>
      <c r="C4" t="s">
        <v>33</v>
      </c>
      <c r="D4" t="s">
        <v>34</v>
      </c>
      <c r="E4" s="1">
        <v>0.75</v>
      </c>
      <c r="F4" t="s">
        <v>39</v>
      </c>
      <c r="G4" t="s">
        <v>40</v>
      </c>
      <c r="H4">
        <v>5.5</v>
      </c>
      <c r="I4">
        <v>3.04</v>
      </c>
      <c r="J4">
        <v>5.6</v>
      </c>
      <c r="K4">
        <f t="shared" si="0"/>
        <v>9.9999999999999645E-2</v>
      </c>
      <c r="L4">
        <v>3.32</v>
      </c>
      <c r="M4">
        <f t="shared" si="1"/>
        <v>0.2799999999999998</v>
      </c>
      <c r="N4" t="s">
        <v>41</v>
      </c>
      <c r="O4">
        <v>4103847.6666666665</v>
      </c>
      <c r="P4">
        <v>0.51592499999999997</v>
      </c>
      <c r="Q4">
        <v>149.17500000000001</v>
      </c>
      <c r="R4">
        <v>328.08</v>
      </c>
      <c r="S4">
        <v>164226</v>
      </c>
      <c r="T4">
        <v>0</v>
      </c>
      <c r="U4">
        <v>1</v>
      </c>
    </row>
    <row r="5" spans="1:36" x14ac:dyDescent="0.2">
      <c r="A5" t="s">
        <v>42</v>
      </c>
      <c r="B5">
        <v>1</v>
      </c>
      <c r="C5" t="s">
        <v>33</v>
      </c>
      <c r="D5" t="s">
        <v>34</v>
      </c>
      <c r="E5" s="1">
        <v>0.75</v>
      </c>
      <c r="F5" t="s">
        <v>43</v>
      </c>
      <c r="G5" t="s">
        <v>40</v>
      </c>
      <c r="H5">
        <v>5.2</v>
      </c>
      <c r="I5">
        <v>2.81</v>
      </c>
      <c r="J5">
        <v>5.3</v>
      </c>
      <c r="K5">
        <f t="shared" si="0"/>
        <v>9.9999999999999645E-2</v>
      </c>
      <c r="L5">
        <v>2.91</v>
      </c>
      <c r="M5">
        <f t="shared" si="1"/>
        <v>0.10000000000000009</v>
      </c>
      <c r="N5" t="s">
        <v>44</v>
      </c>
      <c r="O5">
        <v>3338820</v>
      </c>
      <c r="P5">
        <v>0.49557099999999998</v>
      </c>
      <c r="T5">
        <v>0</v>
      </c>
      <c r="U5">
        <v>0</v>
      </c>
    </row>
    <row r="6" spans="1:36" x14ac:dyDescent="0.2">
      <c r="A6" t="s">
        <v>45</v>
      </c>
      <c r="B6">
        <v>1</v>
      </c>
      <c r="C6" t="s">
        <v>33</v>
      </c>
      <c r="D6" t="s">
        <v>34</v>
      </c>
      <c r="E6" s="1">
        <v>0.75</v>
      </c>
      <c r="F6" t="s">
        <v>39</v>
      </c>
      <c r="G6" t="s">
        <v>46</v>
      </c>
      <c r="H6">
        <v>5.8</v>
      </c>
      <c r="I6">
        <v>3.74</v>
      </c>
      <c r="J6">
        <v>5.7</v>
      </c>
      <c r="K6">
        <f t="shared" si="0"/>
        <v>-9.9999999999999645E-2</v>
      </c>
      <c r="L6">
        <v>3.6</v>
      </c>
      <c r="M6">
        <f t="shared" si="1"/>
        <v>-0.14000000000000012</v>
      </c>
      <c r="N6" t="s">
        <v>41</v>
      </c>
      <c r="O6">
        <v>4721606.666666667</v>
      </c>
      <c r="P6">
        <v>0.51722363199999999</v>
      </c>
      <c r="Q6">
        <v>219.06299999999999</v>
      </c>
      <c r="R6">
        <v>106.12</v>
      </c>
      <c r="S6">
        <v>36310.639999999999</v>
      </c>
      <c r="T6">
        <v>1</v>
      </c>
      <c r="U6">
        <v>1</v>
      </c>
      <c r="V6">
        <v>7400</v>
      </c>
      <c r="W6">
        <v>551</v>
      </c>
      <c r="X6">
        <v>0</v>
      </c>
      <c r="Y6">
        <v>7951</v>
      </c>
      <c r="Z6">
        <v>550494.6</v>
      </c>
      <c r="AA6">
        <v>5803</v>
      </c>
      <c r="AB6">
        <v>829</v>
      </c>
      <c r="AC6">
        <v>98</v>
      </c>
      <c r="AD6">
        <v>6730</v>
      </c>
      <c r="AE6">
        <v>391308.6</v>
      </c>
      <c r="AF6">
        <v>6719</v>
      </c>
      <c r="AG6">
        <v>588</v>
      </c>
      <c r="AH6">
        <v>16</v>
      </c>
      <c r="AI6">
        <v>7323</v>
      </c>
      <c r="AJ6">
        <v>360187</v>
      </c>
    </row>
    <row r="7" spans="1:36" x14ac:dyDescent="0.2">
      <c r="A7" t="s">
        <v>47</v>
      </c>
      <c r="B7">
        <v>1</v>
      </c>
      <c r="C7" t="s">
        <v>33</v>
      </c>
      <c r="D7" t="s">
        <v>34</v>
      </c>
      <c r="E7" s="1">
        <v>0.75</v>
      </c>
      <c r="F7" t="s">
        <v>43</v>
      </c>
      <c r="G7" t="s">
        <v>46</v>
      </c>
      <c r="H7">
        <v>4.9000000000000004</v>
      </c>
      <c r="I7">
        <v>2.1</v>
      </c>
      <c r="J7">
        <v>4.9000000000000004</v>
      </c>
      <c r="K7">
        <f t="shared" si="0"/>
        <v>0</v>
      </c>
      <c r="L7">
        <v>2.14</v>
      </c>
      <c r="M7">
        <f t="shared" si="1"/>
        <v>4.0000000000000036E-2</v>
      </c>
      <c r="N7" t="s">
        <v>44</v>
      </c>
      <c r="O7">
        <v>4240711</v>
      </c>
      <c r="P7">
        <v>0.49557095499999998</v>
      </c>
      <c r="Q7">
        <v>141.375</v>
      </c>
      <c r="R7">
        <v>197.56</v>
      </c>
      <c r="S7">
        <v>12275.52</v>
      </c>
      <c r="T7">
        <v>1</v>
      </c>
      <c r="U7">
        <v>1</v>
      </c>
      <c r="V7">
        <v>8923</v>
      </c>
      <c r="W7">
        <v>416</v>
      </c>
      <c r="X7">
        <v>8</v>
      </c>
      <c r="Y7">
        <v>9347</v>
      </c>
      <c r="Z7">
        <v>418203.4</v>
      </c>
      <c r="AA7">
        <v>9315.3670810000003</v>
      </c>
      <c r="AB7">
        <v>568.16254030000005</v>
      </c>
      <c r="AC7">
        <v>111.24791310000001</v>
      </c>
      <c r="AD7">
        <v>9998.6347170000008</v>
      </c>
      <c r="AE7">
        <v>441950.62319999997</v>
      </c>
      <c r="AF7">
        <v>5096.020203</v>
      </c>
      <c r="AG7">
        <v>583.43495459999997</v>
      </c>
      <c r="AH7">
        <v>26.889670760000001</v>
      </c>
      <c r="AI7">
        <v>5707.3170760000003</v>
      </c>
      <c r="AJ7">
        <v>276732.41139999998</v>
      </c>
    </row>
    <row r="8" spans="1:36" x14ac:dyDescent="0.2">
      <c r="A8" t="s">
        <v>48</v>
      </c>
      <c r="B8">
        <v>1</v>
      </c>
      <c r="C8" t="s">
        <v>33</v>
      </c>
      <c r="D8" t="s">
        <v>34</v>
      </c>
      <c r="E8" s="1">
        <v>0.75</v>
      </c>
      <c r="F8" t="s">
        <v>43</v>
      </c>
      <c r="G8" t="s">
        <v>49</v>
      </c>
      <c r="H8">
        <v>5</v>
      </c>
      <c r="I8">
        <v>2.41</v>
      </c>
      <c r="J8">
        <v>5</v>
      </c>
      <c r="K8">
        <f t="shared" si="0"/>
        <v>0</v>
      </c>
      <c r="L8">
        <v>2.4500000000000002</v>
      </c>
      <c r="M8">
        <f t="shared" si="1"/>
        <v>4.0000000000000036E-2</v>
      </c>
      <c r="N8" t="s">
        <v>44</v>
      </c>
      <c r="O8">
        <v>1929856.6666666667</v>
      </c>
      <c r="P8">
        <v>0.51923428500000002</v>
      </c>
      <c r="Q8">
        <v>144.10499999999999</v>
      </c>
      <c r="R8">
        <v>93.24</v>
      </c>
      <c r="S8">
        <v>12315.96</v>
      </c>
      <c r="T8">
        <v>0</v>
      </c>
      <c r="U8">
        <v>1</v>
      </c>
    </row>
    <row r="9" spans="1:36" x14ac:dyDescent="0.2">
      <c r="A9" t="s">
        <v>50</v>
      </c>
      <c r="B9">
        <v>1</v>
      </c>
      <c r="C9" t="s">
        <v>33</v>
      </c>
      <c r="D9" t="s">
        <v>34</v>
      </c>
      <c r="E9" s="1">
        <v>0.75</v>
      </c>
      <c r="F9" t="s">
        <v>39</v>
      </c>
      <c r="G9" t="s">
        <v>49</v>
      </c>
      <c r="H9">
        <v>5.4</v>
      </c>
      <c r="I9">
        <v>3.1</v>
      </c>
      <c r="J9">
        <v>5.5</v>
      </c>
      <c r="K9">
        <f t="shared" si="0"/>
        <v>9.9999999999999645E-2</v>
      </c>
      <c r="L9">
        <v>3.43</v>
      </c>
      <c r="M9">
        <f t="shared" si="1"/>
        <v>0.33000000000000007</v>
      </c>
      <c r="N9" t="s">
        <v>41</v>
      </c>
      <c r="O9">
        <v>1762730</v>
      </c>
      <c r="P9">
        <v>0.48608180299999998</v>
      </c>
      <c r="Q9">
        <v>148.512</v>
      </c>
      <c r="R9">
        <v>211.76</v>
      </c>
      <c r="S9">
        <v>1757.24</v>
      </c>
      <c r="T9">
        <v>0</v>
      </c>
      <c r="U9">
        <v>1</v>
      </c>
    </row>
    <row r="10" spans="1:36" x14ac:dyDescent="0.2">
      <c r="A10" t="s">
        <v>51</v>
      </c>
      <c r="B10">
        <v>2</v>
      </c>
      <c r="C10" t="s">
        <v>33</v>
      </c>
      <c r="D10" t="s">
        <v>52</v>
      </c>
      <c r="E10" s="1">
        <v>6</v>
      </c>
      <c r="F10" t="s">
        <v>53</v>
      </c>
      <c r="G10" t="s">
        <v>54</v>
      </c>
      <c r="H10">
        <v>6.1</v>
      </c>
      <c r="I10">
        <v>4</v>
      </c>
      <c r="J10">
        <v>6.4</v>
      </c>
      <c r="K10">
        <f t="shared" si="0"/>
        <v>0.30000000000000071</v>
      </c>
      <c r="L10">
        <v>5.22</v>
      </c>
      <c r="M10">
        <f t="shared" si="1"/>
        <v>1.2199999999999998</v>
      </c>
      <c r="N10" t="s">
        <v>41</v>
      </c>
      <c r="O10">
        <v>43083466.666666664</v>
      </c>
      <c r="P10">
        <v>0</v>
      </c>
      <c r="Q10">
        <v>2716.857</v>
      </c>
      <c r="R10">
        <v>34.880000000000003</v>
      </c>
      <c r="S10">
        <v>50248.72</v>
      </c>
      <c r="T10">
        <v>1</v>
      </c>
      <c r="U10">
        <v>1</v>
      </c>
      <c r="V10">
        <v>8798.570307</v>
      </c>
      <c r="W10">
        <v>1069.951656</v>
      </c>
      <c r="X10">
        <v>65.177747780000004</v>
      </c>
      <c r="Y10">
        <v>9940.8699899999992</v>
      </c>
      <c r="Z10">
        <v>801363.32310000004</v>
      </c>
      <c r="AA10">
        <v>5050</v>
      </c>
      <c r="AB10">
        <v>658</v>
      </c>
      <c r="AC10">
        <v>140</v>
      </c>
      <c r="AD10">
        <v>5848</v>
      </c>
      <c r="AE10">
        <v>520775.7</v>
      </c>
      <c r="AF10">
        <v>3438</v>
      </c>
      <c r="AG10">
        <v>456</v>
      </c>
      <c r="AH10">
        <v>52</v>
      </c>
      <c r="AI10">
        <v>3946</v>
      </c>
      <c r="AJ10">
        <v>382772.9</v>
      </c>
    </row>
    <row r="11" spans="1:36" x14ac:dyDescent="0.2">
      <c r="A11" t="s">
        <v>55</v>
      </c>
      <c r="B11">
        <v>2</v>
      </c>
      <c r="C11" t="s">
        <v>33</v>
      </c>
      <c r="D11" t="s">
        <v>52</v>
      </c>
      <c r="E11" s="1">
        <v>6</v>
      </c>
      <c r="F11" t="s">
        <v>56</v>
      </c>
      <c r="G11" t="s">
        <v>54</v>
      </c>
      <c r="H11">
        <v>5.2</v>
      </c>
      <c r="I11">
        <v>2.48</v>
      </c>
      <c r="J11">
        <v>5.3</v>
      </c>
      <c r="K11">
        <f t="shared" si="0"/>
        <v>9.9999999999999645E-2</v>
      </c>
      <c r="L11">
        <v>2.57</v>
      </c>
      <c r="M11">
        <f t="shared" si="1"/>
        <v>8.9999999999999858E-2</v>
      </c>
      <c r="N11" t="s">
        <v>44</v>
      </c>
      <c r="O11">
        <v>3529156.6666666665</v>
      </c>
      <c r="P11">
        <v>0.38501191099999998</v>
      </c>
      <c r="Q11">
        <v>187.35599999999999</v>
      </c>
      <c r="R11">
        <v>440.08</v>
      </c>
      <c r="S11">
        <v>164690.56</v>
      </c>
      <c r="T11">
        <v>1</v>
      </c>
      <c r="U11">
        <v>1</v>
      </c>
      <c r="V11">
        <v>9043</v>
      </c>
      <c r="W11">
        <v>446</v>
      </c>
      <c r="X11">
        <v>0</v>
      </c>
      <c r="Y11">
        <v>9489</v>
      </c>
      <c r="Z11">
        <v>593527.6</v>
      </c>
      <c r="AA11">
        <v>7401</v>
      </c>
      <c r="AB11">
        <v>523</v>
      </c>
      <c r="AC11">
        <v>82</v>
      </c>
      <c r="AD11">
        <v>8006</v>
      </c>
      <c r="AE11">
        <v>503500.4</v>
      </c>
      <c r="AF11">
        <v>4518</v>
      </c>
      <c r="AG11">
        <v>542</v>
      </c>
      <c r="AH11">
        <v>33</v>
      </c>
      <c r="AI11">
        <v>5093</v>
      </c>
      <c r="AJ11">
        <v>350326.5</v>
      </c>
    </row>
    <row r="12" spans="1:36" x14ac:dyDescent="0.2">
      <c r="A12" t="s">
        <v>57</v>
      </c>
      <c r="B12">
        <v>2</v>
      </c>
      <c r="C12" t="s">
        <v>33</v>
      </c>
      <c r="D12" t="s">
        <v>52</v>
      </c>
      <c r="E12" s="1">
        <v>6</v>
      </c>
      <c r="F12" t="s">
        <v>53</v>
      </c>
      <c r="G12" t="s">
        <v>58</v>
      </c>
      <c r="H12">
        <v>5</v>
      </c>
      <c r="I12">
        <v>2.41</v>
      </c>
      <c r="J12">
        <v>5.4</v>
      </c>
      <c r="K12">
        <f t="shared" si="0"/>
        <v>0.40000000000000036</v>
      </c>
      <c r="L12">
        <v>3.6</v>
      </c>
      <c r="M12">
        <f t="shared" si="1"/>
        <v>1.19</v>
      </c>
      <c r="N12" t="s">
        <v>41</v>
      </c>
      <c r="O12">
        <v>2617773.9</v>
      </c>
      <c r="P12">
        <v>0.37145102600000002</v>
      </c>
      <c r="Q12">
        <v>200.69399999999999</v>
      </c>
      <c r="R12">
        <v>669.32</v>
      </c>
      <c r="S12">
        <v>29757.599999999999</v>
      </c>
      <c r="T12">
        <v>1</v>
      </c>
      <c r="U12">
        <v>1</v>
      </c>
      <c r="V12">
        <v>11489</v>
      </c>
      <c r="W12">
        <v>635</v>
      </c>
      <c r="X12">
        <v>0</v>
      </c>
      <c r="Y12">
        <v>12124</v>
      </c>
      <c r="Z12">
        <v>790544</v>
      </c>
      <c r="AA12">
        <v>8034</v>
      </c>
      <c r="AB12">
        <v>630</v>
      </c>
      <c r="AC12">
        <v>82</v>
      </c>
      <c r="AD12">
        <v>8746</v>
      </c>
      <c r="AE12">
        <v>590065.5</v>
      </c>
      <c r="AF12">
        <v>3787.034275</v>
      </c>
      <c r="AG12">
        <v>494.0352077</v>
      </c>
      <c r="AH12">
        <v>8.8612426059999994</v>
      </c>
      <c r="AI12">
        <v>4298.7351849999995</v>
      </c>
      <c r="AJ12">
        <v>372187.48119999998</v>
      </c>
    </row>
    <row r="13" spans="1:36" x14ac:dyDescent="0.2">
      <c r="A13" t="s">
        <v>59</v>
      </c>
      <c r="B13">
        <v>2</v>
      </c>
      <c r="C13" t="s">
        <v>33</v>
      </c>
      <c r="D13" t="s">
        <v>52</v>
      </c>
      <c r="E13" s="1">
        <v>6</v>
      </c>
      <c r="F13" t="s">
        <v>56</v>
      </c>
      <c r="G13" t="s">
        <v>58</v>
      </c>
      <c r="H13">
        <v>5</v>
      </c>
      <c r="I13">
        <v>2.31</v>
      </c>
      <c r="J13">
        <v>4.9000000000000004</v>
      </c>
      <c r="K13">
        <f t="shared" si="0"/>
        <v>-9.9999999999999645E-2</v>
      </c>
      <c r="L13">
        <v>2.2400000000000002</v>
      </c>
      <c r="M13">
        <f t="shared" si="1"/>
        <v>-6.999999999999984E-2</v>
      </c>
      <c r="N13" t="s">
        <v>44</v>
      </c>
      <c r="O13">
        <v>2864775.3333333335</v>
      </c>
      <c r="P13">
        <v>0.238149579</v>
      </c>
      <c r="Q13">
        <v>172.41900000000001</v>
      </c>
      <c r="R13">
        <v>578.32000000000005</v>
      </c>
      <c r="S13">
        <v>8212.2800000000007</v>
      </c>
      <c r="T13">
        <v>1</v>
      </c>
      <c r="U13">
        <v>1</v>
      </c>
      <c r="V13">
        <v>6900</v>
      </c>
      <c r="W13">
        <v>437</v>
      </c>
      <c r="X13">
        <v>3</v>
      </c>
      <c r="Y13">
        <v>7340</v>
      </c>
      <c r="Z13">
        <v>430427.8</v>
      </c>
      <c r="AA13">
        <v>5533.2443949999997</v>
      </c>
      <c r="AB13">
        <v>476.4639267</v>
      </c>
      <c r="AC13">
        <v>39.266740599999999</v>
      </c>
      <c r="AD13">
        <v>6049.1833360000001</v>
      </c>
      <c r="AE13">
        <v>366812.31319999998</v>
      </c>
      <c r="AF13">
        <v>3312</v>
      </c>
      <c r="AG13">
        <v>322</v>
      </c>
      <c r="AH13">
        <v>11</v>
      </c>
      <c r="AI13">
        <v>3645</v>
      </c>
      <c r="AJ13">
        <v>247730.7</v>
      </c>
    </row>
    <row r="14" spans="1:36" x14ac:dyDescent="0.2">
      <c r="A14" t="s">
        <v>60</v>
      </c>
      <c r="B14">
        <v>2</v>
      </c>
      <c r="C14" t="s">
        <v>33</v>
      </c>
      <c r="D14" t="s">
        <v>52</v>
      </c>
      <c r="E14" s="1">
        <v>6</v>
      </c>
      <c r="F14" t="s">
        <v>53</v>
      </c>
      <c r="G14">
        <v>15</v>
      </c>
      <c r="H14">
        <v>5.7</v>
      </c>
      <c r="I14">
        <v>3.58</v>
      </c>
      <c r="J14">
        <v>6.1</v>
      </c>
      <c r="K14">
        <f t="shared" si="0"/>
        <v>0.39999999999999947</v>
      </c>
      <c r="L14">
        <v>5.04</v>
      </c>
      <c r="M14">
        <f t="shared" si="1"/>
        <v>1.46</v>
      </c>
      <c r="N14" t="s">
        <v>41</v>
      </c>
      <c r="O14">
        <v>3317513.3333333335</v>
      </c>
      <c r="P14">
        <v>0.19047191899999999</v>
      </c>
      <c r="Q14">
        <v>210.09299999999999</v>
      </c>
      <c r="R14" s="4">
        <v>14.68</v>
      </c>
      <c r="S14">
        <v>14617.04</v>
      </c>
      <c r="T14">
        <v>1</v>
      </c>
      <c r="U14">
        <v>1</v>
      </c>
      <c r="V14">
        <v>13160</v>
      </c>
      <c r="W14">
        <v>650</v>
      </c>
      <c r="X14">
        <v>0</v>
      </c>
      <c r="Y14">
        <v>13810</v>
      </c>
      <c r="Z14">
        <v>797105</v>
      </c>
      <c r="AA14">
        <v>10954</v>
      </c>
      <c r="AB14">
        <v>1575</v>
      </c>
      <c r="AC14">
        <v>143</v>
      </c>
      <c r="AD14">
        <v>12672</v>
      </c>
      <c r="AE14">
        <v>773344.9</v>
      </c>
      <c r="AF14">
        <v>5936</v>
      </c>
      <c r="AG14">
        <v>649</v>
      </c>
      <c r="AH14">
        <v>32</v>
      </c>
      <c r="AI14">
        <v>6617</v>
      </c>
      <c r="AJ14">
        <v>447410.2</v>
      </c>
    </row>
    <row r="15" spans="1:36" x14ac:dyDescent="0.2">
      <c r="A15" t="s">
        <v>61</v>
      </c>
      <c r="B15">
        <v>2</v>
      </c>
      <c r="C15" t="s">
        <v>33</v>
      </c>
      <c r="D15" t="s">
        <v>52</v>
      </c>
      <c r="E15" s="1">
        <v>6</v>
      </c>
      <c r="F15" t="s">
        <v>56</v>
      </c>
      <c r="G15">
        <v>15</v>
      </c>
      <c r="H15">
        <v>5</v>
      </c>
      <c r="I15">
        <v>2.48</v>
      </c>
      <c r="J15">
        <v>5.4</v>
      </c>
      <c r="K15">
        <f t="shared" si="0"/>
        <v>0.40000000000000036</v>
      </c>
      <c r="L15">
        <v>3.22</v>
      </c>
      <c r="M15">
        <f t="shared" si="1"/>
        <v>0.74000000000000021</v>
      </c>
      <c r="N15" t="s">
        <v>44</v>
      </c>
      <c r="O15">
        <v>3990022.6666666665</v>
      </c>
      <c r="P15">
        <v>0.27843637900000001</v>
      </c>
      <c r="Q15">
        <v>173.08199999999999</v>
      </c>
      <c r="R15" s="4">
        <v>1147.72</v>
      </c>
      <c r="S15">
        <v>43982.76</v>
      </c>
      <c r="T15">
        <v>1</v>
      </c>
      <c r="U15">
        <v>1</v>
      </c>
      <c r="V15">
        <v>9335</v>
      </c>
      <c r="W15">
        <v>562</v>
      </c>
      <c r="X15">
        <v>15</v>
      </c>
      <c r="Y15">
        <v>9912</v>
      </c>
      <c r="Z15">
        <v>629969.6</v>
      </c>
      <c r="AA15">
        <v>5179.7629429999997</v>
      </c>
      <c r="AB15">
        <v>699.26638109999999</v>
      </c>
      <c r="AC15">
        <v>69.587664869999998</v>
      </c>
      <c r="AD15">
        <v>5950.5950709999997</v>
      </c>
      <c r="AE15">
        <v>404746.20280000003</v>
      </c>
      <c r="AF15">
        <v>3571.6559040000002</v>
      </c>
      <c r="AG15">
        <v>520.87713699999995</v>
      </c>
      <c r="AH15">
        <v>18.023744709999999</v>
      </c>
      <c r="AI15">
        <v>4109.8196090000001</v>
      </c>
      <c r="AJ15">
        <v>282825.17859999998</v>
      </c>
    </row>
    <row r="16" spans="1:36" x14ac:dyDescent="0.2">
      <c r="A16" t="s">
        <v>62</v>
      </c>
      <c r="B16">
        <v>2</v>
      </c>
      <c r="C16" t="s">
        <v>33</v>
      </c>
      <c r="D16" t="s">
        <v>52</v>
      </c>
      <c r="E16" s="1">
        <v>6</v>
      </c>
      <c r="F16" t="s">
        <v>53</v>
      </c>
      <c r="G16">
        <v>13</v>
      </c>
      <c r="H16">
        <v>5.0999999999999996</v>
      </c>
      <c r="I16">
        <v>2.63</v>
      </c>
      <c r="J16">
        <v>6</v>
      </c>
      <c r="K16">
        <f t="shared" si="0"/>
        <v>0.90000000000000036</v>
      </c>
      <c r="L16">
        <v>4.93</v>
      </c>
      <c r="M16">
        <f t="shared" si="1"/>
        <v>2.2999999999999998</v>
      </c>
      <c r="N16" t="s">
        <v>41</v>
      </c>
      <c r="P16">
        <v>0.25701329299999998</v>
      </c>
      <c r="T16">
        <v>1</v>
      </c>
      <c r="U16">
        <v>0</v>
      </c>
      <c r="V16">
        <v>10486</v>
      </c>
      <c r="W16">
        <v>716</v>
      </c>
      <c r="X16">
        <v>6</v>
      </c>
      <c r="Y16">
        <v>11208</v>
      </c>
      <c r="Z16">
        <v>868787</v>
      </c>
      <c r="AA16">
        <v>8931.7973490000004</v>
      </c>
      <c r="AB16">
        <v>276.3042974</v>
      </c>
      <c r="AC16">
        <v>55.618261840000002</v>
      </c>
      <c r="AD16">
        <v>9245.887659</v>
      </c>
      <c r="AE16">
        <v>495026.76929999999</v>
      </c>
      <c r="AF16">
        <v>5463.6469729999999</v>
      </c>
      <c r="AG16">
        <v>272.4220401</v>
      </c>
      <c r="AH16">
        <v>35.444970429999998</v>
      </c>
      <c r="AI16">
        <v>5773.6239699999996</v>
      </c>
      <c r="AJ16">
        <v>337305.80109999998</v>
      </c>
    </row>
    <row r="17" spans="1:36" x14ac:dyDescent="0.2">
      <c r="A17" t="s">
        <v>63</v>
      </c>
      <c r="B17">
        <v>2</v>
      </c>
      <c r="C17" t="s">
        <v>33</v>
      </c>
      <c r="D17" t="s">
        <v>52</v>
      </c>
      <c r="E17" s="1">
        <v>6</v>
      </c>
      <c r="F17" t="s">
        <v>56</v>
      </c>
      <c r="G17">
        <v>13</v>
      </c>
      <c r="H17">
        <v>4.9000000000000004</v>
      </c>
      <c r="I17">
        <v>2</v>
      </c>
      <c r="J17">
        <v>5</v>
      </c>
      <c r="K17">
        <f t="shared" si="0"/>
        <v>9.9999999999999645E-2</v>
      </c>
      <c r="L17">
        <v>2.39</v>
      </c>
      <c r="M17">
        <f t="shared" si="1"/>
        <v>0.39000000000000012</v>
      </c>
      <c r="N17" t="s">
        <v>44</v>
      </c>
      <c r="O17">
        <v>3712503.3333333335</v>
      </c>
      <c r="P17">
        <v>0.52052556900000002</v>
      </c>
      <c r="T17">
        <v>1</v>
      </c>
      <c r="U17">
        <v>0</v>
      </c>
      <c r="V17">
        <v>10839</v>
      </c>
      <c r="W17">
        <v>343</v>
      </c>
      <c r="X17">
        <v>8</v>
      </c>
      <c r="Y17">
        <v>11190</v>
      </c>
      <c r="Z17">
        <v>636213.4</v>
      </c>
      <c r="AA17">
        <v>9231</v>
      </c>
      <c r="AB17">
        <v>363</v>
      </c>
      <c r="AC17">
        <v>90</v>
      </c>
      <c r="AD17">
        <v>9684</v>
      </c>
      <c r="AE17">
        <v>476540.5</v>
      </c>
      <c r="AF17">
        <v>6473</v>
      </c>
      <c r="AG17">
        <v>331</v>
      </c>
      <c r="AH17">
        <v>26</v>
      </c>
      <c r="AI17">
        <v>6830</v>
      </c>
      <c r="AJ17">
        <v>308973</v>
      </c>
    </row>
    <row r="18" spans="1:36" x14ac:dyDescent="0.2">
      <c r="A18" t="s">
        <v>64</v>
      </c>
      <c r="B18">
        <v>3</v>
      </c>
      <c r="C18" t="s">
        <v>33</v>
      </c>
      <c r="D18" t="s">
        <v>65</v>
      </c>
      <c r="E18" s="1">
        <v>12</v>
      </c>
      <c r="F18" t="s">
        <v>66</v>
      </c>
      <c r="G18" t="s">
        <v>67</v>
      </c>
      <c r="H18">
        <v>4.5999999999999996</v>
      </c>
      <c r="I18">
        <v>1.73</v>
      </c>
      <c r="J18">
        <v>4.5</v>
      </c>
      <c r="K18">
        <f t="shared" si="0"/>
        <v>-9.9999999999999645E-2</v>
      </c>
      <c r="L18">
        <v>1.7</v>
      </c>
      <c r="M18">
        <f t="shared" si="1"/>
        <v>-3.0000000000000027E-2</v>
      </c>
      <c r="N18" t="s">
        <v>44</v>
      </c>
      <c r="O18">
        <v>1450263.3333333333</v>
      </c>
      <c r="P18">
        <v>9.0421546000000005E-2</v>
      </c>
      <c r="T18">
        <v>1</v>
      </c>
      <c r="U18">
        <v>0</v>
      </c>
      <c r="V18">
        <v>9043</v>
      </c>
      <c r="W18">
        <v>812</v>
      </c>
      <c r="X18">
        <v>1</v>
      </c>
      <c r="Y18">
        <v>9856</v>
      </c>
      <c r="Z18">
        <v>594998.30000000005</v>
      </c>
      <c r="AA18">
        <v>5636.434827</v>
      </c>
      <c r="AB18">
        <v>597.07883760000004</v>
      </c>
      <c r="AC18">
        <v>47.720496369999999</v>
      </c>
      <c r="AD18">
        <v>6279.8851070000001</v>
      </c>
      <c r="AE18">
        <v>335485.45419999998</v>
      </c>
      <c r="AF18">
        <v>2569.2162750000002</v>
      </c>
      <c r="AG18">
        <v>454.0743129</v>
      </c>
      <c r="AH18">
        <v>17.068534589999999</v>
      </c>
      <c r="AI18">
        <v>3043.8217650000001</v>
      </c>
      <c r="AJ18">
        <v>198907.14499999999</v>
      </c>
    </row>
    <row r="19" spans="1:36" x14ac:dyDescent="0.2">
      <c r="A19" t="s">
        <v>68</v>
      </c>
      <c r="B19">
        <v>3</v>
      </c>
      <c r="C19" t="s">
        <v>33</v>
      </c>
      <c r="D19" t="s">
        <v>65</v>
      </c>
      <c r="E19" s="1">
        <v>12</v>
      </c>
      <c r="F19" t="s">
        <v>69</v>
      </c>
      <c r="G19" t="s">
        <v>67</v>
      </c>
      <c r="H19">
        <v>5.5</v>
      </c>
      <c r="I19">
        <v>3.54</v>
      </c>
      <c r="J19">
        <v>6</v>
      </c>
      <c r="K19">
        <f t="shared" si="0"/>
        <v>0.5</v>
      </c>
      <c r="L19">
        <v>4.2</v>
      </c>
      <c r="M19">
        <f t="shared" si="1"/>
        <v>0.66000000000000014</v>
      </c>
      <c r="N19" t="s">
        <v>41</v>
      </c>
      <c r="O19">
        <v>2604966.3333333335</v>
      </c>
      <c r="P19">
        <v>0.14100915999999999</v>
      </c>
      <c r="Q19">
        <v>176.08500000000001</v>
      </c>
      <c r="R19">
        <v>169.08</v>
      </c>
      <c r="S19">
        <v>159757.88</v>
      </c>
      <c r="T19">
        <v>1</v>
      </c>
      <c r="U19">
        <v>1</v>
      </c>
      <c r="V19">
        <v>8236</v>
      </c>
      <c r="W19">
        <v>1334</v>
      </c>
      <c r="X19">
        <v>10</v>
      </c>
      <c r="Y19">
        <v>9582</v>
      </c>
      <c r="Z19">
        <v>710425</v>
      </c>
      <c r="AA19">
        <v>6945</v>
      </c>
      <c r="AB19">
        <v>675</v>
      </c>
      <c r="AC19">
        <v>102</v>
      </c>
      <c r="AD19">
        <v>7722</v>
      </c>
      <c r="AE19">
        <v>533989.6</v>
      </c>
      <c r="AF19">
        <v>5283</v>
      </c>
      <c r="AG19">
        <v>438</v>
      </c>
      <c r="AH19">
        <v>32</v>
      </c>
      <c r="AI19">
        <v>5753</v>
      </c>
      <c r="AJ19">
        <v>660010.19999999995</v>
      </c>
    </row>
    <row r="20" spans="1:36" x14ac:dyDescent="0.2">
      <c r="A20" t="s">
        <v>70</v>
      </c>
      <c r="B20">
        <v>3</v>
      </c>
      <c r="C20" t="s">
        <v>33</v>
      </c>
      <c r="D20" t="s">
        <v>65</v>
      </c>
      <c r="E20" s="1">
        <v>12</v>
      </c>
      <c r="F20" t="s">
        <v>66</v>
      </c>
      <c r="G20" t="s">
        <v>71</v>
      </c>
      <c r="H20">
        <v>4.8</v>
      </c>
      <c r="I20">
        <v>2.8</v>
      </c>
      <c r="J20">
        <v>4.9000000000000004</v>
      </c>
      <c r="K20">
        <f t="shared" si="0"/>
        <v>0.10000000000000053</v>
      </c>
      <c r="L20">
        <v>2.9</v>
      </c>
      <c r="M20">
        <f t="shared" si="1"/>
        <v>0.10000000000000009</v>
      </c>
      <c r="N20" t="s">
        <v>44</v>
      </c>
      <c r="O20">
        <v>1575293.3333333333</v>
      </c>
      <c r="P20">
        <v>0.32169892999999999</v>
      </c>
      <c r="Q20">
        <v>187.31700000000001</v>
      </c>
      <c r="R20">
        <v>714.12</v>
      </c>
      <c r="S20">
        <v>4161.84</v>
      </c>
      <c r="T20">
        <v>1</v>
      </c>
      <c r="U20">
        <v>1</v>
      </c>
      <c r="V20">
        <v>9659</v>
      </c>
      <c r="W20">
        <v>606</v>
      </c>
      <c r="X20">
        <v>0</v>
      </c>
      <c r="Y20">
        <v>10265</v>
      </c>
      <c r="Z20">
        <v>619552</v>
      </c>
      <c r="AA20">
        <v>7816</v>
      </c>
      <c r="AB20">
        <v>590</v>
      </c>
      <c r="AC20">
        <v>40</v>
      </c>
      <c r="AD20">
        <v>8446</v>
      </c>
      <c r="AE20">
        <v>510437.9</v>
      </c>
      <c r="AF20">
        <v>5238</v>
      </c>
      <c r="AG20">
        <v>599</v>
      </c>
      <c r="AH20">
        <v>14</v>
      </c>
      <c r="AI20">
        <v>5851</v>
      </c>
      <c r="AJ20">
        <v>339619</v>
      </c>
    </row>
    <row r="21" spans="1:36" x14ac:dyDescent="0.2">
      <c r="A21" t="s">
        <v>72</v>
      </c>
      <c r="B21">
        <v>3</v>
      </c>
      <c r="C21" t="s">
        <v>33</v>
      </c>
      <c r="D21" t="s">
        <v>65</v>
      </c>
      <c r="E21" s="1">
        <v>12</v>
      </c>
      <c r="F21" t="s">
        <v>69</v>
      </c>
      <c r="G21" t="s">
        <v>71</v>
      </c>
      <c r="H21">
        <v>4.7</v>
      </c>
      <c r="I21">
        <v>2.0099999999999998</v>
      </c>
      <c r="J21">
        <v>5.5</v>
      </c>
      <c r="K21">
        <f t="shared" si="0"/>
        <v>0.79999999999999982</v>
      </c>
      <c r="L21">
        <v>3.12</v>
      </c>
      <c r="M21">
        <f t="shared" si="1"/>
        <v>1.1100000000000003</v>
      </c>
      <c r="N21" t="s">
        <v>41</v>
      </c>
      <c r="O21">
        <v>3355550.6666666665</v>
      </c>
      <c r="P21">
        <v>0.23609560800000001</v>
      </c>
      <c r="Q21">
        <v>175.929</v>
      </c>
      <c r="R21">
        <v>147</v>
      </c>
      <c r="S21">
        <v>84330.8</v>
      </c>
      <c r="T21">
        <v>1</v>
      </c>
      <c r="U21">
        <v>1</v>
      </c>
      <c r="V21">
        <v>10206</v>
      </c>
      <c r="W21">
        <v>953</v>
      </c>
      <c r="X21">
        <v>21</v>
      </c>
      <c r="Y21">
        <v>11180</v>
      </c>
      <c r="Z21">
        <v>683165</v>
      </c>
      <c r="AA21">
        <v>7692.9718579999999</v>
      </c>
      <c r="AB21">
        <v>762.99898429999996</v>
      </c>
      <c r="AC21">
        <v>81.806565199999994</v>
      </c>
      <c r="AD21">
        <v>8536.3345950000003</v>
      </c>
      <c r="AE21">
        <v>551177.24</v>
      </c>
      <c r="AF21">
        <v>3369.4144700000002</v>
      </c>
      <c r="AG21">
        <v>686.47708660000001</v>
      </c>
      <c r="AH21">
        <v>24.693920250000001</v>
      </c>
      <c r="AI21">
        <v>4069.4871889999999</v>
      </c>
      <c r="AJ21">
        <v>252976.24170000001</v>
      </c>
    </row>
    <row r="22" spans="1:36" x14ac:dyDescent="0.2">
      <c r="A22" t="s">
        <v>73</v>
      </c>
      <c r="B22">
        <v>3</v>
      </c>
      <c r="C22" t="s">
        <v>74</v>
      </c>
      <c r="D22" t="s">
        <v>65</v>
      </c>
      <c r="E22" s="1">
        <v>12</v>
      </c>
      <c r="F22" t="s">
        <v>74</v>
      </c>
      <c r="G22">
        <v>17</v>
      </c>
      <c r="H22">
        <v>5</v>
      </c>
      <c r="I22">
        <v>2.27</v>
      </c>
      <c r="J22">
        <v>5.4</v>
      </c>
      <c r="K22">
        <f t="shared" si="0"/>
        <v>0.40000000000000036</v>
      </c>
      <c r="L22">
        <v>2.97</v>
      </c>
      <c r="M22">
        <f t="shared" si="1"/>
        <v>0.70000000000000018</v>
      </c>
      <c r="N22" t="s">
        <v>44</v>
      </c>
      <c r="O22">
        <v>5727076.333333333</v>
      </c>
      <c r="P22">
        <v>0.52563673399999999</v>
      </c>
      <c r="Q22">
        <v>233.84399999999999</v>
      </c>
      <c r="R22">
        <v>616</v>
      </c>
      <c r="S22">
        <v>11001.84</v>
      </c>
      <c r="T22">
        <v>1</v>
      </c>
      <c r="U22">
        <v>1</v>
      </c>
      <c r="V22">
        <v>10752</v>
      </c>
      <c r="W22">
        <v>434</v>
      </c>
      <c r="X22">
        <v>0</v>
      </c>
      <c r="Y22">
        <v>10841</v>
      </c>
      <c r="Z22">
        <v>661266</v>
      </c>
      <c r="AA22">
        <v>9792</v>
      </c>
      <c r="AB22">
        <v>672</v>
      </c>
      <c r="AC22">
        <v>43</v>
      </c>
      <c r="AD22">
        <v>10226</v>
      </c>
      <c r="AE22">
        <v>586652</v>
      </c>
      <c r="AF22">
        <v>5893.9139869999999</v>
      </c>
      <c r="AG22">
        <v>490.6470903</v>
      </c>
      <c r="AH22">
        <v>10.562055920000001</v>
      </c>
      <c r="AI22">
        <v>6272.6975400000001</v>
      </c>
      <c r="AJ22">
        <v>367820.94919999997</v>
      </c>
    </row>
    <row r="23" spans="1:36" x14ac:dyDescent="0.2">
      <c r="A23" t="s">
        <v>75</v>
      </c>
      <c r="B23">
        <v>3</v>
      </c>
      <c r="C23" t="s">
        <v>76</v>
      </c>
      <c r="D23" t="s">
        <v>65</v>
      </c>
      <c r="E23" s="1">
        <v>12</v>
      </c>
      <c r="F23" t="s">
        <v>76</v>
      </c>
      <c r="G23">
        <v>17</v>
      </c>
      <c r="H23">
        <v>5.0999999999999996</v>
      </c>
      <c r="I23">
        <v>2.27</v>
      </c>
      <c r="J23">
        <v>5.9</v>
      </c>
      <c r="K23">
        <f t="shared" si="0"/>
        <v>0.80000000000000071</v>
      </c>
      <c r="L23">
        <v>4.42</v>
      </c>
      <c r="M23">
        <f t="shared" si="1"/>
        <v>2.15</v>
      </c>
      <c r="N23" t="s">
        <v>41</v>
      </c>
      <c r="O23">
        <v>19660200</v>
      </c>
      <c r="P23">
        <v>0</v>
      </c>
      <c r="Q23">
        <v>3524.3910000000001</v>
      </c>
      <c r="R23">
        <v>46.8</v>
      </c>
      <c r="S23">
        <v>36009.72</v>
      </c>
      <c r="T23">
        <v>1</v>
      </c>
      <c r="U23">
        <v>1</v>
      </c>
      <c r="V23">
        <v>10226</v>
      </c>
      <c r="W23">
        <v>901</v>
      </c>
      <c r="X23">
        <v>0</v>
      </c>
      <c r="Y23">
        <v>11127</v>
      </c>
      <c r="Z23">
        <v>540110.19999999995</v>
      </c>
      <c r="AA23">
        <v>8988</v>
      </c>
      <c r="AB23">
        <v>786</v>
      </c>
      <c r="AC23">
        <v>110</v>
      </c>
      <c r="AD23">
        <v>9884</v>
      </c>
      <c r="AE23">
        <v>613560</v>
      </c>
      <c r="AF23">
        <v>5625</v>
      </c>
      <c r="AG23">
        <v>674</v>
      </c>
      <c r="AH23">
        <v>31</v>
      </c>
      <c r="AI23">
        <v>6330</v>
      </c>
      <c r="AJ23">
        <v>404356.3</v>
      </c>
    </row>
    <row r="24" spans="1:36" x14ac:dyDescent="0.2">
      <c r="A24" t="s">
        <v>77</v>
      </c>
      <c r="B24">
        <v>3</v>
      </c>
      <c r="C24" t="s">
        <v>33</v>
      </c>
      <c r="D24" t="s">
        <v>65</v>
      </c>
      <c r="E24" s="1">
        <v>12</v>
      </c>
      <c r="F24" t="s">
        <v>69</v>
      </c>
      <c r="G24">
        <v>5</v>
      </c>
      <c r="H24">
        <v>5.0999999999999996</v>
      </c>
      <c r="I24">
        <v>2.41</v>
      </c>
      <c r="J24">
        <v>5.8</v>
      </c>
      <c r="K24">
        <f t="shared" si="0"/>
        <v>0.70000000000000018</v>
      </c>
      <c r="L24">
        <v>3.84</v>
      </c>
      <c r="M24">
        <f t="shared" si="1"/>
        <v>1.4299999999999997</v>
      </c>
      <c r="N24" t="s">
        <v>41</v>
      </c>
      <c r="O24">
        <v>2457673.3333333335</v>
      </c>
      <c r="P24">
        <v>8.1408392999999996E-2</v>
      </c>
      <c r="Q24">
        <v>204.20400000000001</v>
      </c>
      <c r="R24">
        <v>383.68</v>
      </c>
      <c r="S24">
        <v>2400.2800000000002</v>
      </c>
      <c r="T24">
        <v>1</v>
      </c>
      <c r="U24">
        <v>1</v>
      </c>
      <c r="AA24">
        <v>7635.5432760000003</v>
      </c>
      <c r="AB24">
        <v>462.72974859999999</v>
      </c>
      <c r="AC24">
        <v>17.985805289999998</v>
      </c>
      <c r="AD24">
        <v>8125.9637739999998</v>
      </c>
      <c r="AE24">
        <v>427135.59620000003</v>
      </c>
      <c r="AF24">
        <v>4964</v>
      </c>
      <c r="AG24">
        <v>648</v>
      </c>
      <c r="AH24">
        <v>23</v>
      </c>
      <c r="AI24">
        <v>5635</v>
      </c>
      <c r="AJ24">
        <v>344601</v>
      </c>
    </row>
    <row r="25" spans="1:36" x14ac:dyDescent="0.2">
      <c r="A25" t="s">
        <v>78</v>
      </c>
      <c r="B25">
        <v>3</v>
      </c>
      <c r="C25" t="s">
        <v>33</v>
      </c>
      <c r="D25" t="s">
        <v>65</v>
      </c>
      <c r="E25" s="1">
        <v>12</v>
      </c>
      <c r="F25" t="s">
        <v>66</v>
      </c>
      <c r="G25">
        <v>5</v>
      </c>
      <c r="H25">
        <v>4.4000000000000004</v>
      </c>
      <c r="I25">
        <v>1.56</v>
      </c>
      <c r="J25">
        <v>4.4000000000000004</v>
      </c>
      <c r="K25">
        <f t="shared" si="0"/>
        <v>0</v>
      </c>
      <c r="L25">
        <v>1.55</v>
      </c>
      <c r="M25">
        <f t="shared" si="1"/>
        <v>-1.0000000000000009E-2</v>
      </c>
      <c r="N25" t="s">
        <v>44</v>
      </c>
      <c r="O25">
        <v>2018906.3333333333</v>
      </c>
      <c r="P25">
        <v>3.2741929000000003E-2</v>
      </c>
      <c r="T25">
        <v>1</v>
      </c>
      <c r="U25">
        <v>0</v>
      </c>
      <c r="V25">
        <v>13436</v>
      </c>
      <c r="W25">
        <v>461</v>
      </c>
      <c r="X25">
        <v>0</v>
      </c>
      <c r="Y25">
        <v>12044</v>
      </c>
      <c r="Z25">
        <v>848528</v>
      </c>
      <c r="AA25">
        <v>9805.1738299999997</v>
      </c>
      <c r="AB25">
        <v>382.21276269999998</v>
      </c>
      <c r="AC25">
        <v>31.452729219999998</v>
      </c>
      <c r="AD25">
        <v>10215.074629999999</v>
      </c>
      <c r="AE25">
        <v>592778.29390000005</v>
      </c>
      <c r="AF25">
        <v>4483</v>
      </c>
      <c r="AG25">
        <v>277</v>
      </c>
      <c r="AH25">
        <v>19</v>
      </c>
      <c r="AI25">
        <v>4783</v>
      </c>
      <c r="AJ25">
        <v>261394.2</v>
      </c>
    </row>
    <row r="26" spans="1:36" x14ac:dyDescent="0.2">
      <c r="A26" t="s">
        <v>79</v>
      </c>
      <c r="B26">
        <v>1</v>
      </c>
      <c r="C26" t="s">
        <v>33</v>
      </c>
      <c r="D26" t="s">
        <v>34</v>
      </c>
      <c r="E26" s="1">
        <v>0.75</v>
      </c>
      <c r="F26" t="s">
        <v>39</v>
      </c>
      <c r="G26">
        <v>14</v>
      </c>
      <c r="H26">
        <v>5.5</v>
      </c>
      <c r="I26">
        <v>3.49</v>
      </c>
      <c r="J26">
        <v>5.7</v>
      </c>
      <c r="K26">
        <f>J26-H26</f>
        <v>0.20000000000000018</v>
      </c>
      <c r="L26">
        <v>3.71</v>
      </c>
      <c r="M26">
        <f t="shared" si="1"/>
        <v>0.21999999999999975</v>
      </c>
      <c r="N26" t="s">
        <v>41</v>
      </c>
      <c r="O26">
        <v>3436486.6666666665</v>
      </c>
      <c r="P26">
        <v>0.48783319759264576</v>
      </c>
      <c r="R26">
        <v>645.83999999999992</v>
      </c>
      <c r="T26">
        <v>1</v>
      </c>
      <c r="U26">
        <v>0</v>
      </c>
      <c r="V26">
        <v>7891.6753140000001</v>
      </c>
      <c r="W26">
        <v>603.83898260000001</v>
      </c>
      <c r="X26">
        <v>21.177682650000001</v>
      </c>
      <c r="Y26">
        <v>8529.2246670000004</v>
      </c>
      <c r="Z26">
        <v>558636.61569999997</v>
      </c>
      <c r="AA26">
        <v>5943.5595020000001</v>
      </c>
      <c r="AB26">
        <v>579.95563719999996</v>
      </c>
      <c r="AC26">
        <v>64.483693079999995</v>
      </c>
      <c r="AD26">
        <v>6586.0408509999997</v>
      </c>
      <c r="AE26">
        <v>382694.81809999997</v>
      </c>
      <c r="AF26">
        <v>5956</v>
      </c>
      <c r="AG26">
        <v>831</v>
      </c>
      <c r="AH26">
        <v>55</v>
      </c>
      <c r="AI26">
        <v>6842</v>
      </c>
      <c r="AJ26">
        <v>317844</v>
      </c>
    </row>
    <row r="27" spans="1:36" x14ac:dyDescent="0.2">
      <c r="A27" t="s">
        <v>80</v>
      </c>
      <c r="B27">
        <v>1</v>
      </c>
      <c r="C27" t="s">
        <v>33</v>
      </c>
      <c r="D27" t="s">
        <v>34</v>
      </c>
      <c r="E27" s="1">
        <v>0.75</v>
      </c>
      <c r="F27" t="s">
        <v>43</v>
      </c>
      <c r="G27">
        <v>14</v>
      </c>
      <c r="H27">
        <v>5.5</v>
      </c>
      <c r="I27">
        <v>2.81</v>
      </c>
      <c r="J27">
        <v>5.0999999999999996</v>
      </c>
      <c r="K27">
        <f t="shared" ref="K27:K29" si="2">J27-H27</f>
        <v>-0.40000000000000036</v>
      </c>
      <c r="L27">
        <v>2.65</v>
      </c>
      <c r="M27">
        <f t="shared" si="1"/>
        <v>-0.16000000000000014</v>
      </c>
      <c r="N27" t="s">
        <v>44</v>
      </c>
      <c r="O27">
        <v>2403543.3333333335</v>
      </c>
      <c r="P27">
        <v>0.39664737661201888</v>
      </c>
      <c r="R27">
        <v>320.64000000000004</v>
      </c>
      <c r="T27">
        <v>1</v>
      </c>
      <c r="U27">
        <v>0</v>
      </c>
      <c r="V27">
        <v>9866</v>
      </c>
      <c r="W27">
        <v>643</v>
      </c>
      <c r="X27">
        <v>13</v>
      </c>
      <c r="Y27">
        <v>10522</v>
      </c>
      <c r="Z27">
        <v>734622</v>
      </c>
      <c r="AA27">
        <v>9069</v>
      </c>
      <c r="AB27">
        <v>800</v>
      </c>
      <c r="AC27">
        <v>129</v>
      </c>
      <c r="AD27">
        <v>9998</v>
      </c>
      <c r="AE27">
        <v>663124</v>
      </c>
      <c r="AF27">
        <v>6162.5758839999999</v>
      </c>
      <c r="AG27">
        <v>443.87769689999999</v>
      </c>
      <c r="AH27">
        <v>24.524528220000001</v>
      </c>
      <c r="AI27">
        <v>6629.9703570000001</v>
      </c>
      <c r="AJ27">
        <v>466333.16810000001</v>
      </c>
    </row>
    <row r="28" spans="1:36" x14ac:dyDescent="0.2">
      <c r="A28" t="s">
        <v>81</v>
      </c>
      <c r="B28">
        <v>1</v>
      </c>
      <c r="C28" t="s">
        <v>33</v>
      </c>
      <c r="D28" t="s">
        <v>34</v>
      </c>
      <c r="E28" s="1">
        <v>0.75</v>
      </c>
      <c r="F28" t="s">
        <v>39</v>
      </c>
      <c r="G28">
        <v>16</v>
      </c>
      <c r="H28">
        <v>5.4</v>
      </c>
      <c r="I28">
        <v>3.36</v>
      </c>
      <c r="J28">
        <v>5.8</v>
      </c>
      <c r="K28">
        <f t="shared" si="2"/>
        <v>0.39999999999999947</v>
      </c>
      <c r="L28">
        <v>3.97</v>
      </c>
      <c r="M28">
        <f t="shared" si="1"/>
        <v>0.61000000000000032</v>
      </c>
      <c r="N28" t="s">
        <v>41</v>
      </c>
      <c r="O28">
        <v>3234357.3333333335</v>
      </c>
      <c r="P28">
        <v>0.56043882312830473</v>
      </c>
      <c r="R28">
        <v>90.210000000000008</v>
      </c>
      <c r="T28">
        <v>1</v>
      </c>
      <c r="U28">
        <v>0</v>
      </c>
      <c r="V28">
        <v>10766.10521</v>
      </c>
      <c r="W28">
        <v>506.28092199999998</v>
      </c>
      <c r="X28">
        <v>0</v>
      </c>
      <c r="Y28">
        <v>11273.77642</v>
      </c>
      <c r="Z28">
        <v>549987.75840000005</v>
      </c>
      <c r="AA28">
        <v>12580</v>
      </c>
      <c r="AB28">
        <v>1302</v>
      </c>
      <c r="AC28">
        <v>1302</v>
      </c>
      <c r="AD28">
        <v>14105</v>
      </c>
      <c r="AE28">
        <v>712618</v>
      </c>
      <c r="AF28">
        <v>8840.4269230000009</v>
      </c>
      <c r="AG28">
        <v>346.51101649999998</v>
      </c>
      <c r="AH28">
        <v>36.047489409999997</v>
      </c>
      <c r="AI28">
        <v>9227.5209259999992</v>
      </c>
      <c r="AJ28">
        <v>422240.49690000003</v>
      </c>
    </row>
    <row r="29" spans="1:36" x14ac:dyDescent="0.2">
      <c r="A29" t="s">
        <v>82</v>
      </c>
      <c r="B29">
        <v>1</v>
      </c>
      <c r="C29" t="s">
        <v>33</v>
      </c>
      <c r="D29" t="s">
        <v>34</v>
      </c>
      <c r="E29" s="1">
        <v>0.75</v>
      </c>
      <c r="F29" t="s">
        <v>43</v>
      </c>
      <c r="G29">
        <v>16</v>
      </c>
      <c r="H29">
        <v>5.2</v>
      </c>
      <c r="I29">
        <v>2.65</v>
      </c>
      <c r="J29">
        <v>5.2</v>
      </c>
      <c r="K29">
        <f t="shared" si="2"/>
        <v>0</v>
      </c>
      <c r="L29">
        <v>2.88</v>
      </c>
      <c r="M29">
        <f t="shared" si="1"/>
        <v>0.22999999999999998</v>
      </c>
      <c r="N29" t="s">
        <v>44</v>
      </c>
      <c r="O29">
        <v>3232888.1999999997</v>
      </c>
      <c r="P29">
        <v>0.5563237362983563</v>
      </c>
      <c r="R29">
        <v>156.12</v>
      </c>
      <c r="T29">
        <v>1</v>
      </c>
      <c r="U29">
        <v>0</v>
      </c>
      <c r="V29">
        <v>10661</v>
      </c>
      <c r="W29">
        <v>492</v>
      </c>
      <c r="X29">
        <v>6</v>
      </c>
      <c r="Y29">
        <v>10961</v>
      </c>
      <c r="Z29">
        <v>482583.1</v>
      </c>
      <c r="AA29">
        <v>13881.92036</v>
      </c>
      <c r="AB29">
        <v>776.97131179999997</v>
      </c>
      <c r="AC29">
        <v>208.0536808</v>
      </c>
      <c r="AD29">
        <v>14823.45535</v>
      </c>
      <c r="AE29">
        <v>631669.97010000004</v>
      </c>
      <c r="AF29">
        <v>6719</v>
      </c>
      <c r="AG29">
        <v>488</v>
      </c>
      <c r="AH29">
        <v>33</v>
      </c>
      <c r="AI29">
        <v>7240</v>
      </c>
      <c r="AJ29">
        <v>334366.90000000002</v>
      </c>
    </row>
    <row r="30" spans="1:36" x14ac:dyDescent="0.2">
      <c r="A30" t="s">
        <v>83</v>
      </c>
      <c r="B30">
        <v>1</v>
      </c>
      <c r="C30" t="s">
        <v>33</v>
      </c>
      <c r="D30" t="s">
        <v>34</v>
      </c>
      <c r="E30" s="1">
        <v>0.75</v>
      </c>
      <c r="F30" t="s">
        <v>43</v>
      </c>
      <c r="G30">
        <v>3</v>
      </c>
      <c r="H30">
        <v>4.5</v>
      </c>
      <c r="I30">
        <v>2.06</v>
      </c>
      <c r="J30">
        <v>4.5999999999999996</v>
      </c>
      <c r="K30">
        <f t="shared" si="0"/>
        <v>9.9999999999999645E-2</v>
      </c>
      <c r="L30">
        <v>2</v>
      </c>
      <c r="M30">
        <f t="shared" si="1"/>
        <v>-6.0000000000000053E-2</v>
      </c>
      <c r="N30" t="s">
        <v>44</v>
      </c>
      <c r="O30">
        <v>2421146.6666666665</v>
      </c>
      <c r="P30">
        <v>0.63596152398734662</v>
      </c>
      <c r="Q30">
        <f>MIN(Q2:Q24)</f>
        <v>141.375</v>
      </c>
      <c r="T30">
        <v>1</v>
      </c>
      <c r="U30">
        <v>0</v>
      </c>
      <c r="V30">
        <v>11628</v>
      </c>
      <c r="W30">
        <v>935</v>
      </c>
      <c r="X30">
        <v>44</v>
      </c>
      <c r="Y30">
        <v>12607</v>
      </c>
      <c r="Z30">
        <v>735001</v>
      </c>
      <c r="AA30">
        <v>5974</v>
      </c>
      <c r="AB30">
        <v>496</v>
      </c>
      <c r="AC30">
        <v>23</v>
      </c>
      <c r="AD30">
        <v>6495</v>
      </c>
      <c r="AE30">
        <v>314757</v>
      </c>
      <c r="AF30">
        <v>4391</v>
      </c>
      <c r="AG30">
        <v>594</v>
      </c>
      <c r="AH30">
        <v>18</v>
      </c>
      <c r="AI30">
        <v>5003</v>
      </c>
      <c r="AJ30">
        <v>278647</v>
      </c>
    </row>
    <row r="31" spans="1:36" x14ac:dyDescent="0.2">
      <c r="A31" t="s">
        <v>84</v>
      </c>
      <c r="B31">
        <v>1</v>
      </c>
      <c r="C31" t="s">
        <v>33</v>
      </c>
      <c r="D31" t="s">
        <v>34</v>
      </c>
      <c r="E31" s="1">
        <v>0.75</v>
      </c>
      <c r="F31" t="s">
        <v>39</v>
      </c>
      <c r="G31">
        <v>3</v>
      </c>
      <c r="H31">
        <v>5</v>
      </c>
      <c r="I31">
        <v>2.5099999999999998</v>
      </c>
      <c r="J31">
        <v>5.0999999999999996</v>
      </c>
      <c r="K31">
        <f t="shared" si="0"/>
        <v>9.9999999999999645E-2</v>
      </c>
      <c r="L31">
        <v>2.85</v>
      </c>
      <c r="M31">
        <f t="shared" si="1"/>
        <v>0.3400000000000003</v>
      </c>
      <c r="N31" t="s">
        <v>41</v>
      </c>
      <c r="O31">
        <v>1668563.3333333333</v>
      </c>
      <c r="P31">
        <v>0.42476553930414629</v>
      </c>
      <c r="Q31">
        <f>MAX(Q2:Q9,Q11:Q22,Q24:Q30)</f>
        <v>233.84399999999999</v>
      </c>
      <c r="T31">
        <v>1</v>
      </c>
      <c r="U31">
        <v>0</v>
      </c>
      <c r="V31">
        <v>10273</v>
      </c>
      <c r="W31">
        <v>920</v>
      </c>
      <c r="X31">
        <v>101</v>
      </c>
      <c r="Y31">
        <v>11324</v>
      </c>
      <c r="Z31">
        <v>583870.70000000007</v>
      </c>
      <c r="AA31">
        <v>7285</v>
      </c>
      <c r="AB31">
        <v>930</v>
      </c>
      <c r="AC31">
        <v>111</v>
      </c>
      <c r="AD31">
        <v>8326</v>
      </c>
      <c r="AE31">
        <v>374954.7</v>
      </c>
      <c r="AF31">
        <v>5251</v>
      </c>
      <c r="AG31">
        <v>520</v>
      </c>
      <c r="AH31">
        <v>59</v>
      </c>
      <c r="AI31">
        <v>5830</v>
      </c>
      <c r="AJ31">
        <v>237546.5</v>
      </c>
    </row>
    <row r="32" spans="1:36" x14ac:dyDescent="0.2">
      <c r="A32" t="s">
        <v>85</v>
      </c>
      <c r="B32">
        <v>5</v>
      </c>
      <c r="C32" t="s">
        <v>76</v>
      </c>
      <c r="D32" t="s">
        <v>76</v>
      </c>
      <c r="F32" t="s">
        <v>76</v>
      </c>
      <c r="G32" t="s">
        <v>85</v>
      </c>
      <c r="J32">
        <v>6</v>
      </c>
      <c r="L32">
        <v>4.7</v>
      </c>
      <c r="N32" t="s">
        <v>41</v>
      </c>
      <c r="P32">
        <v>0</v>
      </c>
      <c r="T32">
        <v>1</v>
      </c>
      <c r="U32">
        <v>0</v>
      </c>
      <c r="V32">
        <v>8770</v>
      </c>
      <c r="W32">
        <v>488</v>
      </c>
      <c r="X32">
        <v>0</v>
      </c>
      <c r="Y32">
        <v>9258</v>
      </c>
      <c r="Z32">
        <v>419248.9</v>
      </c>
      <c r="AA32">
        <v>13273</v>
      </c>
      <c r="AB32">
        <v>633</v>
      </c>
      <c r="AC32">
        <v>99</v>
      </c>
      <c r="AD32">
        <v>13994</v>
      </c>
      <c r="AE32">
        <v>692229</v>
      </c>
      <c r="AF32">
        <v>8104</v>
      </c>
      <c r="AG32">
        <v>300</v>
      </c>
      <c r="AH32">
        <v>28</v>
      </c>
      <c r="AI32">
        <v>8432</v>
      </c>
      <c r="AJ32">
        <v>390548.8</v>
      </c>
    </row>
    <row r="33" spans="1:36" x14ac:dyDescent="0.2">
      <c r="A33" t="s">
        <v>86</v>
      </c>
      <c r="B33">
        <v>5</v>
      </c>
      <c r="C33" t="s">
        <v>74</v>
      </c>
      <c r="D33" t="s">
        <v>74</v>
      </c>
      <c r="F33" t="s">
        <v>74</v>
      </c>
      <c r="G33" t="s">
        <v>86</v>
      </c>
      <c r="J33">
        <v>5.4</v>
      </c>
      <c r="L33">
        <v>3</v>
      </c>
      <c r="N33" t="s">
        <v>44</v>
      </c>
      <c r="O33">
        <v>2527026.6666666665</v>
      </c>
      <c r="P33">
        <v>0.69299999999999995</v>
      </c>
      <c r="T33">
        <v>1</v>
      </c>
      <c r="U33">
        <v>0</v>
      </c>
      <c r="V33">
        <v>10622</v>
      </c>
      <c r="W33">
        <v>187</v>
      </c>
      <c r="X33">
        <v>0</v>
      </c>
      <c r="Y33">
        <v>10809</v>
      </c>
      <c r="Z33">
        <v>527228.19999999995</v>
      </c>
      <c r="AA33">
        <v>9505</v>
      </c>
      <c r="AB33">
        <v>366</v>
      </c>
      <c r="AC33">
        <v>70</v>
      </c>
      <c r="AD33">
        <v>9961</v>
      </c>
      <c r="AE33">
        <v>475931</v>
      </c>
      <c r="AF33">
        <v>7043</v>
      </c>
      <c r="AG33">
        <v>568</v>
      </c>
      <c r="AH33">
        <v>37</v>
      </c>
      <c r="AI33">
        <v>7645</v>
      </c>
      <c r="AJ33">
        <v>332882.40000000002</v>
      </c>
    </row>
    <row r="34" spans="1:36" x14ac:dyDescent="0.2">
      <c r="A34" t="s">
        <v>87</v>
      </c>
      <c r="B34">
        <v>5</v>
      </c>
      <c r="C34" t="s">
        <v>76</v>
      </c>
      <c r="D34" t="s">
        <v>76</v>
      </c>
      <c r="F34" t="s">
        <v>76</v>
      </c>
      <c r="J34">
        <v>7.5</v>
      </c>
      <c r="L34">
        <v>10.32</v>
      </c>
      <c r="N34" t="s">
        <v>41</v>
      </c>
      <c r="O34">
        <v>60591300</v>
      </c>
      <c r="P34">
        <v>0</v>
      </c>
      <c r="R34">
        <v>32.760000000000005</v>
      </c>
      <c r="T34">
        <v>1</v>
      </c>
      <c r="U34">
        <v>0</v>
      </c>
      <c r="V34">
        <v>14271</v>
      </c>
      <c r="W34">
        <v>1065</v>
      </c>
      <c r="X34">
        <v>29</v>
      </c>
      <c r="Y34">
        <v>15365</v>
      </c>
      <c r="Z34">
        <v>737584</v>
      </c>
      <c r="AA34">
        <v>17949.338370000001</v>
      </c>
      <c r="AB34">
        <v>896.99571530000003</v>
      </c>
      <c r="AC34">
        <v>476.93759669999997</v>
      </c>
      <c r="AD34">
        <v>19293.987160000001</v>
      </c>
      <c r="AE34">
        <v>885991.20810000005</v>
      </c>
      <c r="AF34">
        <v>13224.719220000001</v>
      </c>
      <c r="AG34">
        <v>630.53684599999997</v>
      </c>
      <c r="AH34">
        <v>58.784186830000003</v>
      </c>
      <c r="AI34">
        <v>13923.51692</v>
      </c>
      <c r="AJ34">
        <v>649636.77690000006</v>
      </c>
    </row>
    <row r="35" spans="1:36" x14ac:dyDescent="0.2">
      <c r="A35" t="s">
        <v>88</v>
      </c>
      <c r="B35">
        <v>5</v>
      </c>
      <c r="C35" t="s">
        <v>76</v>
      </c>
      <c r="D35" t="s">
        <v>76</v>
      </c>
      <c r="F35" t="s">
        <v>76</v>
      </c>
      <c r="J35">
        <v>7</v>
      </c>
      <c r="L35">
        <v>7.62</v>
      </c>
      <c r="N35" t="s">
        <v>41</v>
      </c>
      <c r="P35">
        <v>0</v>
      </c>
      <c r="R35">
        <v>14.34</v>
      </c>
      <c r="T35">
        <v>1</v>
      </c>
      <c r="U35">
        <v>0</v>
      </c>
      <c r="V35">
        <v>12848</v>
      </c>
      <c r="W35">
        <v>948</v>
      </c>
      <c r="X35">
        <v>38</v>
      </c>
      <c r="Y35">
        <v>13834</v>
      </c>
      <c r="Z35">
        <v>728937</v>
      </c>
      <c r="AA35">
        <v>12824</v>
      </c>
      <c r="AB35">
        <v>1175</v>
      </c>
      <c r="AC35">
        <v>250</v>
      </c>
      <c r="AD35">
        <v>14250</v>
      </c>
      <c r="AE35">
        <v>941155.7</v>
      </c>
      <c r="AF35">
        <v>8494</v>
      </c>
      <c r="AG35">
        <v>880</v>
      </c>
      <c r="AH35">
        <v>85</v>
      </c>
      <c r="AI35">
        <v>9459</v>
      </c>
      <c r="AJ35">
        <v>561647.5</v>
      </c>
    </row>
    <row r="36" spans="1:36" x14ac:dyDescent="0.2">
      <c r="A36" t="s">
        <v>89</v>
      </c>
      <c r="B36">
        <v>5</v>
      </c>
      <c r="C36" t="s">
        <v>74</v>
      </c>
      <c r="D36" t="s">
        <v>74</v>
      </c>
      <c r="F36" t="s">
        <v>74</v>
      </c>
      <c r="J36">
        <v>5.4</v>
      </c>
      <c r="L36">
        <v>2.68</v>
      </c>
      <c r="N36" t="s">
        <v>44</v>
      </c>
      <c r="O36">
        <v>7223012.333333333</v>
      </c>
      <c r="P36">
        <v>0.7450851557049134</v>
      </c>
      <c r="R36">
        <v>691.35</v>
      </c>
      <c r="T36">
        <v>1</v>
      </c>
      <c r="U36">
        <v>0</v>
      </c>
      <c r="V36">
        <v>12087.88551</v>
      </c>
      <c r="W36">
        <v>807.40730169999995</v>
      </c>
      <c r="X36">
        <v>24.759803659999999</v>
      </c>
      <c r="Y36">
        <v>12926.838089999999</v>
      </c>
      <c r="Z36">
        <v>641257.66780000005</v>
      </c>
      <c r="AA36">
        <v>8072</v>
      </c>
      <c r="AB36">
        <v>593</v>
      </c>
      <c r="AC36">
        <v>31</v>
      </c>
      <c r="AD36">
        <v>8696</v>
      </c>
      <c r="AE36">
        <v>402968</v>
      </c>
      <c r="AF36">
        <v>4998</v>
      </c>
      <c r="AG36">
        <v>539</v>
      </c>
      <c r="AH36">
        <v>20</v>
      </c>
      <c r="AI36">
        <v>5557</v>
      </c>
      <c r="AJ36">
        <v>292234.3</v>
      </c>
    </row>
    <row r="37" spans="1:36" x14ac:dyDescent="0.2">
      <c r="A37" t="s">
        <v>90</v>
      </c>
      <c r="B37">
        <v>5</v>
      </c>
      <c r="C37" t="s">
        <v>74</v>
      </c>
      <c r="D37" t="s">
        <v>74</v>
      </c>
      <c r="F37" t="s">
        <v>74</v>
      </c>
      <c r="J37">
        <v>5.5</v>
      </c>
      <c r="L37">
        <v>3.23</v>
      </c>
      <c r="N37" t="s">
        <v>44</v>
      </c>
      <c r="O37">
        <v>3561143.3333333335</v>
      </c>
      <c r="P37">
        <v>0.7098486077940277</v>
      </c>
      <c r="R37">
        <v>884.64</v>
      </c>
      <c r="T37">
        <v>1</v>
      </c>
      <c r="U37">
        <v>0</v>
      </c>
      <c r="V37">
        <v>14663</v>
      </c>
      <c r="W37">
        <v>418</v>
      </c>
      <c r="X37">
        <v>4</v>
      </c>
      <c r="Y37">
        <v>15085</v>
      </c>
      <c r="Z37">
        <v>765704</v>
      </c>
      <c r="AA37">
        <v>9915</v>
      </c>
      <c r="AB37">
        <v>482</v>
      </c>
      <c r="AC37">
        <v>151</v>
      </c>
      <c r="AD37">
        <v>10556</v>
      </c>
      <c r="AE37">
        <v>531087.69999999995</v>
      </c>
      <c r="AF37">
        <v>6545.017073</v>
      </c>
      <c r="AG37">
        <v>478.7757871</v>
      </c>
      <c r="AH37">
        <v>58.693001940000002</v>
      </c>
      <c r="AI37">
        <v>7085.063932</v>
      </c>
      <c r="AJ37">
        <v>343389.54599999997</v>
      </c>
    </row>
    <row r="38" spans="1:36" x14ac:dyDescent="0.2">
      <c r="A38" t="s">
        <v>91</v>
      </c>
      <c r="B38">
        <v>5</v>
      </c>
      <c r="C38" t="s">
        <v>74</v>
      </c>
      <c r="D38" t="s">
        <v>74</v>
      </c>
      <c r="F38" t="s">
        <v>74</v>
      </c>
      <c r="J38">
        <v>5.5</v>
      </c>
      <c r="L38">
        <v>3.05</v>
      </c>
      <c r="N38" t="s">
        <v>44</v>
      </c>
      <c r="O38">
        <v>4794947.333333333</v>
      </c>
      <c r="P38">
        <v>0.75446965011997014</v>
      </c>
      <c r="T38">
        <v>1</v>
      </c>
      <c r="U38">
        <v>0</v>
      </c>
      <c r="V38">
        <v>12284</v>
      </c>
      <c r="W38">
        <v>397</v>
      </c>
      <c r="X38">
        <v>2</v>
      </c>
      <c r="Y38">
        <v>12683</v>
      </c>
      <c r="Z38">
        <v>665075</v>
      </c>
      <c r="AA38">
        <v>9372</v>
      </c>
      <c r="AB38">
        <v>415</v>
      </c>
      <c r="AC38">
        <v>48</v>
      </c>
      <c r="AD38">
        <v>9835</v>
      </c>
      <c r="AE38">
        <v>479729</v>
      </c>
      <c r="AF38">
        <v>6861.8274739999997</v>
      </c>
      <c r="AG38">
        <v>587.60983510000005</v>
      </c>
      <c r="AH38">
        <v>13.15124557</v>
      </c>
      <c r="AI38">
        <v>7467.7235559999999</v>
      </c>
      <c r="AJ38">
        <v>393879.89439999999</v>
      </c>
    </row>
    <row r="39" spans="1:36" x14ac:dyDescent="0.2">
      <c r="A39" t="s">
        <v>92</v>
      </c>
      <c r="B39">
        <v>5</v>
      </c>
      <c r="C39" t="s">
        <v>76</v>
      </c>
      <c r="D39" t="s">
        <v>76</v>
      </c>
      <c r="F39" t="s">
        <v>76</v>
      </c>
      <c r="G39" t="s">
        <v>92</v>
      </c>
      <c r="J39">
        <v>5.4</v>
      </c>
      <c r="L39">
        <v>2.86</v>
      </c>
      <c r="N39" t="s">
        <v>41</v>
      </c>
      <c r="P39">
        <v>0</v>
      </c>
      <c r="T39">
        <v>1</v>
      </c>
      <c r="U39">
        <v>0</v>
      </c>
      <c r="V39">
        <v>8749</v>
      </c>
      <c r="W39">
        <v>614</v>
      </c>
      <c r="X39">
        <v>12</v>
      </c>
      <c r="Y39">
        <v>9132</v>
      </c>
      <c r="Z39">
        <v>414983.7</v>
      </c>
      <c r="AA39">
        <v>6870</v>
      </c>
      <c r="AB39">
        <v>425</v>
      </c>
      <c r="AC39">
        <v>41</v>
      </c>
      <c r="AD39">
        <v>7336</v>
      </c>
      <c r="AE39">
        <v>315816.5</v>
      </c>
      <c r="AF39">
        <v>5233.1114960000004</v>
      </c>
      <c r="AG39">
        <v>396.42366340000001</v>
      </c>
      <c r="AH39">
        <v>26.176900710000002</v>
      </c>
      <c r="AI39">
        <v>5656.0478970000004</v>
      </c>
      <c r="AJ39">
        <v>255889.61900000001</v>
      </c>
    </row>
    <row r="40" spans="1:36" x14ac:dyDescent="0.2">
      <c r="A40" t="s">
        <v>93</v>
      </c>
      <c r="B40">
        <v>5</v>
      </c>
      <c r="C40" t="s">
        <v>74</v>
      </c>
      <c r="D40" t="s">
        <v>74</v>
      </c>
      <c r="F40" t="s">
        <v>74</v>
      </c>
      <c r="G40" t="s">
        <v>41</v>
      </c>
      <c r="J40">
        <v>5.6</v>
      </c>
      <c r="L40">
        <v>3.46</v>
      </c>
      <c r="N40" t="s">
        <v>44</v>
      </c>
      <c r="O40">
        <v>5718933.333333333</v>
      </c>
      <c r="P40">
        <v>0.86570000000000003</v>
      </c>
      <c r="T40">
        <v>0</v>
      </c>
      <c r="U40">
        <v>0</v>
      </c>
    </row>
    <row r="41" spans="1:36" x14ac:dyDescent="0.2">
      <c r="A41" t="s">
        <v>94</v>
      </c>
      <c r="B41">
        <v>5</v>
      </c>
      <c r="C41" t="s">
        <v>74</v>
      </c>
      <c r="D41" t="s">
        <v>74</v>
      </c>
      <c r="F41" t="s">
        <v>74</v>
      </c>
      <c r="G41" t="s">
        <v>94</v>
      </c>
      <c r="J41">
        <v>6.1</v>
      </c>
      <c r="L41">
        <v>4.4000000000000004</v>
      </c>
      <c r="N41" t="s">
        <v>44</v>
      </c>
      <c r="O41">
        <v>4871766.666666667</v>
      </c>
      <c r="P41">
        <v>0.65900000000000003</v>
      </c>
      <c r="T41">
        <v>0</v>
      </c>
      <c r="U41">
        <v>0</v>
      </c>
    </row>
    <row r="42" spans="1:36" x14ac:dyDescent="0.2">
      <c r="A42" t="s">
        <v>95</v>
      </c>
      <c r="B42">
        <v>5</v>
      </c>
      <c r="C42" t="s">
        <v>74</v>
      </c>
      <c r="D42" t="s">
        <v>74</v>
      </c>
      <c r="F42" t="s">
        <v>74</v>
      </c>
      <c r="G42" t="s">
        <v>95</v>
      </c>
      <c r="J42">
        <v>6.3</v>
      </c>
      <c r="L42">
        <v>5.46</v>
      </c>
      <c r="N42" t="s">
        <v>44</v>
      </c>
      <c r="O42">
        <v>4760830</v>
      </c>
      <c r="P42">
        <v>0.64449999999999996</v>
      </c>
      <c r="T42">
        <v>0</v>
      </c>
      <c r="U42">
        <v>0</v>
      </c>
    </row>
    <row r="43" spans="1:36" x14ac:dyDescent="0.2">
      <c r="A43" t="s">
        <v>36</v>
      </c>
      <c r="B43">
        <v>5</v>
      </c>
      <c r="C43" t="s">
        <v>74</v>
      </c>
      <c r="D43" t="s">
        <v>74</v>
      </c>
      <c r="F43" t="s">
        <v>74</v>
      </c>
      <c r="G43" t="s">
        <v>36</v>
      </c>
      <c r="J43">
        <v>6.9</v>
      </c>
      <c r="L43">
        <v>5.52</v>
      </c>
      <c r="N43" t="s">
        <v>44</v>
      </c>
      <c r="O43">
        <v>5328631.5333333332</v>
      </c>
      <c r="P43">
        <v>0.64700000000000002</v>
      </c>
      <c r="T43">
        <v>0</v>
      </c>
      <c r="U43">
        <v>0</v>
      </c>
    </row>
    <row r="44" spans="1:36" x14ac:dyDescent="0.2">
      <c r="A44" t="s">
        <v>99</v>
      </c>
      <c r="B44">
        <v>4</v>
      </c>
      <c r="C44" t="s">
        <v>33</v>
      </c>
      <c r="D44" t="s">
        <v>96</v>
      </c>
      <c r="E44" s="1">
        <v>36</v>
      </c>
      <c r="F44" t="s">
        <v>103</v>
      </c>
      <c r="G44" t="s">
        <v>97</v>
      </c>
      <c r="H44">
        <v>5.0999999999999996</v>
      </c>
      <c r="I44">
        <v>2.96</v>
      </c>
      <c r="J44">
        <v>7.5</v>
      </c>
      <c r="K44">
        <f>J44-H44</f>
        <v>2.4000000000000004</v>
      </c>
      <c r="L44">
        <v>9.26</v>
      </c>
      <c r="M44">
        <f>L44-I44</f>
        <v>6.3</v>
      </c>
      <c r="N44" t="s">
        <v>41</v>
      </c>
      <c r="O44">
        <v>3595407.3333333335</v>
      </c>
      <c r="P44">
        <v>2.2926047920542182E-2</v>
      </c>
      <c r="R44">
        <v>934.5</v>
      </c>
      <c r="T44">
        <v>1</v>
      </c>
      <c r="U44">
        <v>0</v>
      </c>
      <c r="V44">
        <v>12448</v>
      </c>
      <c r="W44">
        <v>775</v>
      </c>
      <c r="X44">
        <v>57</v>
      </c>
      <c r="Y44">
        <v>13280</v>
      </c>
      <c r="Z44">
        <v>662655.4</v>
      </c>
      <c r="AA44">
        <v>11261</v>
      </c>
      <c r="AB44">
        <v>782</v>
      </c>
      <c r="AC44">
        <v>156</v>
      </c>
      <c r="AD44">
        <v>12201</v>
      </c>
      <c r="AE44">
        <v>628076.29999999981</v>
      </c>
      <c r="AF44">
        <v>10175</v>
      </c>
      <c r="AG44">
        <v>636</v>
      </c>
      <c r="AH44">
        <v>51</v>
      </c>
      <c r="AI44">
        <v>10862</v>
      </c>
      <c r="AJ44">
        <v>497802.60000000003</v>
      </c>
    </row>
    <row r="45" spans="1:36" x14ac:dyDescent="0.2">
      <c r="A45" t="s">
        <v>100</v>
      </c>
      <c r="B45">
        <v>4</v>
      </c>
      <c r="C45" t="s">
        <v>33</v>
      </c>
      <c r="D45" t="s">
        <v>96</v>
      </c>
      <c r="E45" s="1">
        <v>36</v>
      </c>
      <c r="F45" t="s">
        <v>104</v>
      </c>
      <c r="G45" t="s">
        <v>97</v>
      </c>
      <c r="H45">
        <v>4.7</v>
      </c>
      <c r="I45">
        <v>1.92</v>
      </c>
      <c r="J45">
        <v>4.9000000000000004</v>
      </c>
      <c r="K45">
        <f t="shared" ref="K45:K47" si="3">J45-H45</f>
        <v>0.20000000000000018</v>
      </c>
      <c r="L45">
        <v>2.13</v>
      </c>
      <c r="M45">
        <f t="shared" ref="M45:M47" si="4">L45-I45</f>
        <v>0.20999999999999996</v>
      </c>
      <c r="N45" t="s">
        <v>44</v>
      </c>
      <c r="O45">
        <v>1239303.3333333333</v>
      </c>
      <c r="P45">
        <v>0.17411149299118053</v>
      </c>
      <c r="T45">
        <v>1</v>
      </c>
      <c r="U45">
        <v>0</v>
      </c>
      <c r="V45">
        <v>12688</v>
      </c>
      <c r="W45">
        <v>173</v>
      </c>
      <c r="X45">
        <v>0</v>
      </c>
      <c r="Y45">
        <v>12861</v>
      </c>
      <c r="Z45">
        <v>554088</v>
      </c>
      <c r="AA45">
        <v>8756</v>
      </c>
      <c r="AB45">
        <v>292</v>
      </c>
      <c r="AC45">
        <v>15</v>
      </c>
      <c r="AD45">
        <v>9062</v>
      </c>
      <c r="AE45">
        <v>395311</v>
      </c>
      <c r="AF45">
        <v>6778</v>
      </c>
      <c r="AG45">
        <v>293</v>
      </c>
      <c r="AH45">
        <v>8</v>
      </c>
      <c r="AI45">
        <v>7079</v>
      </c>
      <c r="AJ45">
        <v>306715</v>
      </c>
    </row>
    <row r="46" spans="1:36" x14ac:dyDescent="0.2">
      <c r="A46" t="s">
        <v>101</v>
      </c>
      <c r="B46">
        <v>4</v>
      </c>
      <c r="C46" t="s">
        <v>33</v>
      </c>
      <c r="D46" t="s">
        <v>96</v>
      </c>
      <c r="E46" s="1">
        <v>36</v>
      </c>
      <c r="F46" t="s">
        <v>103</v>
      </c>
      <c r="G46" t="s">
        <v>98</v>
      </c>
      <c r="H46">
        <v>5.3</v>
      </c>
      <c r="I46">
        <v>3.1</v>
      </c>
      <c r="J46">
        <v>7.4</v>
      </c>
      <c r="K46">
        <f t="shared" si="3"/>
        <v>2.1000000000000005</v>
      </c>
      <c r="L46">
        <v>8.61</v>
      </c>
      <c r="M46">
        <f t="shared" si="4"/>
        <v>5.51</v>
      </c>
      <c r="N46" t="s">
        <v>41</v>
      </c>
      <c r="O46">
        <v>15948930</v>
      </c>
      <c r="P46">
        <v>0</v>
      </c>
      <c r="R46">
        <v>32.549999999999997</v>
      </c>
      <c r="T46">
        <v>0</v>
      </c>
      <c r="U46">
        <v>0</v>
      </c>
      <c r="V46">
        <v>6469</v>
      </c>
      <c r="W46">
        <v>653.5</v>
      </c>
      <c r="X46">
        <v>68</v>
      </c>
      <c r="Y46">
        <v>7190.5</v>
      </c>
      <c r="Z46">
        <v>571704.5</v>
      </c>
      <c r="AA46">
        <v>9792.5</v>
      </c>
      <c r="AB46">
        <v>651.5</v>
      </c>
      <c r="AC46">
        <v>89.5</v>
      </c>
      <c r="AD46">
        <v>10533.5</v>
      </c>
      <c r="AE46">
        <v>735438</v>
      </c>
      <c r="AF46">
        <v>11613</v>
      </c>
      <c r="AG46">
        <v>798</v>
      </c>
      <c r="AH46">
        <v>26</v>
      </c>
      <c r="AI46">
        <v>12437</v>
      </c>
      <c r="AJ46">
        <v>785708</v>
      </c>
    </row>
    <row r="47" spans="1:36" x14ac:dyDescent="0.2">
      <c r="A47" t="s">
        <v>102</v>
      </c>
      <c r="B47">
        <v>4</v>
      </c>
      <c r="C47" t="s">
        <v>33</v>
      </c>
      <c r="D47" t="s">
        <v>96</v>
      </c>
      <c r="E47" s="1">
        <v>36</v>
      </c>
      <c r="F47" t="s">
        <v>104</v>
      </c>
      <c r="G47" t="s">
        <v>98</v>
      </c>
      <c r="H47">
        <v>5</v>
      </c>
      <c r="I47">
        <v>2.75</v>
      </c>
      <c r="J47">
        <v>5.2</v>
      </c>
      <c r="K47">
        <f t="shared" si="3"/>
        <v>0.20000000000000018</v>
      </c>
      <c r="L47">
        <v>2.63</v>
      </c>
      <c r="M47">
        <f t="shared" si="4"/>
        <v>-0.12000000000000011</v>
      </c>
      <c r="N47" t="s">
        <v>44</v>
      </c>
      <c r="O47">
        <v>3124796.6666666665</v>
      </c>
      <c r="P47">
        <v>0.27252876024243161</v>
      </c>
      <c r="T47">
        <v>1</v>
      </c>
      <c r="U47">
        <v>0</v>
      </c>
      <c r="V47">
        <v>9073</v>
      </c>
      <c r="W47">
        <v>456</v>
      </c>
      <c r="X47">
        <v>6</v>
      </c>
      <c r="Y47">
        <v>9535</v>
      </c>
      <c r="Z47">
        <v>524890</v>
      </c>
      <c r="AA47">
        <v>7805</v>
      </c>
      <c r="AB47">
        <v>618</v>
      </c>
      <c r="AC47">
        <v>77</v>
      </c>
      <c r="AD47">
        <v>8500</v>
      </c>
      <c r="AE47">
        <v>460720.5</v>
      </c>
      <c r="AF47">
        <v>5311</v>
      </c>
      <c r="AG47">
        <v>587</v>
      </c>
      <c r="AH47">
        <v>49</v>
      </c>
      <c r="AI47">
        <v>5947</v>
      </c>
      <c r="AJ47">
        <v>320940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>
      <selection activeCell="E10" sqref="E10"/>
    </sheetView>
  </sheetViews>
  <sheetFormatPr baseColWidth="10" defaultColWidth="8.83203125" defaultRowHeight="15" x14ac:dyDescent="0.2"/>
  <sheetData>
    <row r="1" spans="1:5" x14ac:dyDescent="0.2">
      <c r="A1" t="s">
        <v>109</v>
      </c>
    </row>
    <row r="2" spans="1:5" ht="16" thickBot="1" x14ac:dyDescent="0.25"/>
    <row r="3" spans="1:5" x14ac:dyDescent="0.2">
      <c r="A3" s="3"/>
      <c r="B3" s="3" t="s">
        <v>110</v>
      </c>
      <c r="C3" s="3" t="s">
        <v>111</v>
      </c>
    </row>
    <row r="4" spans="1:5" x14ac:dyDescent="0.2">
      <c r="A4" t="s">
        <v>112</v>
      </c>
      <c r="B4">
        <v>5.3312499999999998</v>
      </c>
      <c r="C4">
        <v>4.9312500000000004</v>
      </c>
    </row>
    <row r="5" spans="1:5" x14ac:dyDescent="0.2">
      <c r="A5" t="s">
        <v>113</v>
      </c>
      <c r="B5">
        <v>0.12495833333333332</v>
      </c>
      <c r="C5">
        <v>8.0958333333333299E-2</v>
      </c>
    </row>
    <row r="6" spans="1:5" x14ac:dyDescent="0.2">
      <c r="A6" t="s">
        <v>114</v>
      </c>
      <c r="B6">
        <v>16</v>
      </c>
      <c r="C6">
        <v>16</v>
      </c>
    </row>
    <row r="7" spans="1:5" x14ac:dyDescent="0.2">
      <c r="A7" t="s">
        <v>115</v>
      </c>
      <c r="B7">
        <v>0.46024536735179028</v>
      </c>
    </row>
    <row r="8" spans="1:5" x14ac:dyDescent="0.2">
      <c r="A8" t="s">
        <v>116</v>
      </c>
      <c r="B8">
        <v>0</v>
      </c>
    </row>
    <row r="9" spans="1:5" x14ac:dyDescent="0.2">
      <c r="A9" t="s">
        <v>117</v>
      </c>
      <c r="B9">
        <v>15</v>
      </c>
      <c r="E9">
        <f>B10^2</f>
        <v>22.588235294117645</v>
      </c>
    </row>
    <row r="10" spans="1:5" x14ac:dyDescent="0.2">
      <c r="A10" t="s">
        <v>118</v>
      </c>
      <c r="B10">
        <v>4.7527082062880366</v>
      </c>
    </row>
    <row r="11" spans="1:5" x14ac:dyDescent="0.2">
      <c r="A11" t="s">
        <v>119</v>
      </c>
      <c r="B11">
        <v>1.2832457048646975E-4</v>
      </c>
    </row>
    <row r="12" spans="1:5" x14ac:dyDescent="0.2">
      <c r="A12" t="s">
        <v>120</v>
      </c>
      <c r="B12">
        <v>1.7530503556925723</v>
      </c>
    </row>
    <row r="13" spans="1:5" x14ac:dyDescent="0.2">
      <c r="A13" t="s">
        <v>121</v>
      </c>
      <c r="B13">
        <v>2.566491409729395E-4</v>
      </c>
    </row>
    <row r="14" spans="1:5" ht="16" thickBot="1" x14ac:dyDescent="0.25">
      <c r="A14" s="2" t="s">
        <v>122</v>
      </c>
      <c r="B14" s="2">
        <v>2.1314495455597742</v>
      </c>
      <c r="C14" s="2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7"/>
  <sheetViews>
    <sheetView workbookViewId="0">
      <selection activeCell="J2" sqref="J2:Q2"/>
    </sheetView>
  </sheetViews>
  <sheetFormatPr baseColWidth="10" defaultColWidth="8.83203125" defaultRowHeight="15" x14ac:dyDescent="0.2"/>
  <sheetData>
    <row r="1" spans="1:17" x14ac:dyDescent="0.2">
      <c r="A1" t="s">
        <v>5</v>
      </c>
      <c r="B1" t="s">
        <v>6</v>
      </c>
      <c r="C1" t="s">
        <v>7</v>
      </c>
      <c r="D1" t="s">
        <v>8</v>
      </c>
      <c r="E1" t="s">
        <v>106</v>
      </c>
      <c r="F1" t="s">
        <v>9</v>
      </c>
      <c r="G1" t="s">
        <v>107</v>
      </c>
      <c r="H1" t="s">
        <v>10</v>
      </c>
    </row>
    <row r="2" spans="1:17" x14ac:dyDescent="0.2">
      <c r="A2">
        <v>3</v>
      </c>
      <c r="B2">
        <v>5</v>
      </c>
      <c r="C2">
        <v>2.5099999999999998</v>
      </c>
      <c r="D2">
        <v>5.0999999999999996</v>
      </c>
      <c r="E2">
        <v>9.9999999999999645E-2</v>
      </c>
      <c r="F2">
        <v>2.85</v>
      </c>
      <c r="G2">
        <v>0.3400000000000003</v>
      </c>
      <c r="H2" t="s">
        <v>41</v>
      </c>
      <c r="J2">
        <v>3</v>
      </c>
      <c r="K2">
        <v>4.5</v>
      </c>
      <c r="L2">
        <v>2.06</v>
      </c>
      <c r="M2">
        <v>4.5999999999999996</v>
      </c>
      <c r="N2">
        <v>9.9999999999999645E-2</v>
      </c>
      <c r="O2">
        <v>2</v>
      </c>
      <c r="P2">
        <v>-6.0000000000000053E-2</v>
      </c>
      <c r="Q2" t="s">
        <v>44</v>
      </c>
    </row>
    <row r="3" spans="1:17" x14ac:dyDescent="0.2">
      <c r="A3">
        <v>5</v>
      </c>
      <c r="B3">
        <v>5.0999999999999996</v>
      </c>
      <c r="C3">
        <v>2.41</v>
      </c>
      <c r="D3">
        <v>5.8</v>
      </c>
      <c r="E3">
        <v>0.70000000000000018</v>
      </c>
      <c r="F3">
        <v>3.84</v>
      </c>
      <c r="G3">
        <v>1.4299999999999997</v>
      </c>
      <c r="H3" t="s">
        <v>41</v>
      </c>
      <c r="J3">
        <v>5</v>
      </c>
      <c r="K3">
        <v>4.4000000000000004</v>
      </c>
      <c r="L3">
        <v>1.56</v>
      </c>
      <c r="M3">
        <v>4.4000000000000004</v>
      </c>
      <c r="N3">
        <v>0</v>
      </c>
      <c r="O3">
        <v>1.55</v>
      </c>
      <c r="P3">
        <v>-1.0000000000000009E-2</v>
      </c>
      <c r="Q3" t="s">
        <v>44</v>
      </c>
    </row>
    <row r="4" spans="1:17" x14ac:dyDescent="0.2">
      <c r="A4">
        <v>13</v>
      </c>
      <c r="B4">
        <v>5.0999999999999996</v>
      </c>
      <c r="C4">
        <v>2.63</v>
      </c>
      <c r="D4">
        <v>6</v>
      </c>
      <c r="E4">
        <v>0.90000000000000036</v>
      </c>
      <c r="F4">
        <v>4.93</v>
      </c>
      <c r="G4">
        <v>2.2999999999999998</v>
      </c>
      <c r="H4" t="s">
        <v>41</v>
      </c>
      <c r="J4">
        <v>13</v>
      </c>
      <c r="K4">
        <v>4.9000000000000004</v>
      </c>
      <c r="L4">
        <v>2</v>
      </c>
      <c r="M4">
        <v>5</v>
      </c>
      <c r="N4">
        <v>9.9999999999999645E-2</v>
      </c>
      <c r="O4">
        <v>2.39</v>
      </c>
      <c r="P4">
        <v>0.39000000000000012</v>
      </c>
      <c r="Q4" t="s">
        <v>44</v>
      </c>
    </row>
    <row r="5" spans="1:17" x14ac:dyDescent="0.2">
      <c r="A5">
        <v>14</v>
      </c>
      <c r="B5">
        <v>5.5</v>
      </c>
      <c r="C5">
        <v>3.49</v>
      </c>
      <c r="D5">
        <v>5.7</v>
      </c>
      <c r="E5">
        <v>0.20000000000000018</v>
      </c>
      <c r="F5">
        <v>3.71</v>
      </c>
      <c r="G5">
        <v>0.21999999999999975</v>
      </c>
      <c r="H5" t="s">
        <v>41</v>
      </c>
      <c r="J5">
        <v>14</v>
      </c>
      <c r="K5">
        <v>5.5</v>
      </c>
      <c r="L5">
        <v>2.81</v>
      </c>
      <c r="M5">
        <v>5.0999999999999996</v>
      </c>
      <c r="N5">
        <v>-0.40000000000000036</v>
      </c>
      <c r="O5">
        <v>2.65</v>
      </c>
      <c r="P5">
        <v>-0.16000000000000014</v>
      </c>
      <c r="Q5" t="s">
        <v>44</v>
      </c>
    </row>
    <row r="6" spans="1:17" x14ac:dyDescent="0.2">
      <c r="A6">
        <v>15</v>
      </c>
      <c r="B6">
        <v>5.7</v>
      </c>
      <c r="C6">
        <v>3.58</v>
      </c>
      <c r="D6">
        <v>6.1</v>
      </c>
      <c r="E6">
        <v>0.39999999999999947</v>
      </c>
      <c r="F6">
        <v>5.04</v>
      </c>
      <c r="G6">
        <v>1.46</v>
      </c>
      <c r="H6" t="s">
        <v>41</v>
      </c>
      <c r="J6">
        <v>15</v>
      </c>
      <c r="K6">
        <v>5</v>
      </c>
      <c r="L6">
        <v>2.48</v>
      </c>
      <c r="M6">
        <v>5.4</v>
      </c>
      <c r="N6">
        <v>0.40000000000000036</v>
      </c>
      <c r="O6">
        <v>3.22</v>
      </c>
      <c r="P6">
        <v>0.74000000000000021</v>
      </c>
      <c r="Q6" t="s">
        <v>44</v>
      </c>
    </row>
    <row r="7" spans="1:17" x14ac:dyDescent="0.2">
      <c r="A7">
        <v>16</v>
      </c>
      <c r="B7">
        <v>5.4</v>
      </c>
      <c r="C7">
        <v>3.36</v>
      </c>
      <c r="D7">
        <v>5.8</v>
      </c>
      <c r="E7">
        <v>0.39999999999999947</v>
      </c>
      <c r="F7">
        <v>3.97</v>
      </c>
      <c r="G7">
        <v>0.61000000000000032</v>
      </c>
      <c r="H7" t="s">
        <v>41</v>
      </c>
      <c r="J7">
        <v>16</v>
      </c>
      <c r="K7">
        <v>5.2</v>
      </c>
      <c r="L7">
        <v>2.65</v>
      </c>
      <c r="M7">
        <v>5.2</v>
      </c>
      <c r="N7">
        <v>0</v>
      </c>
      <c r="O7">
        <v>2.88</v>
      </c>
      <c r="P7">
        <v>0.22999999999999998</v>
      </c>
      <c r="Q7" t="s">
        <v>44</v>
      </c>
    </row>
    <row r="8" spans="1:17" x14ac:dyDescent="0.2">
      <c r="A8">
        <v>17</v>
      </c>
      <c r="B8">
        <v>5.0999999999999996</v>
      </c>
      <c r="C8">
        <v>2.27</v>
      </c>
      <c r="D8">
        <v>5.9</v>
      </c>
      <c r="E8">
        <v>0.80000000000000071</v>
      </c>
      <c r="F8">
        <v>4.42</v>
      </c>
      <c r="G8">
        <v>2.15</v>
      </c>
      <c r="H8" t="s">
        <v>41</v>
      </c>
      <c r="J8">
        <v>17</v>
      </c>
      <c r="K8">
        <v>5</v>
      </c>
      <c r="L8">
        <v>2.27</v>
      </c>
      <c r="M8">
        <v>5.4</v>
      </c>
      <c r="N8">
        <v>0.40000000000000036</v>
      </c>
      <c r="O8">
        <v>2.97</v>
      </c>
      <c r="P8">
        <v>0.70000000000000018</v>
      </c>
      <c r="Q8" t="s">
        <v>44</v>
      </c>
    </row>
    <row r="9" spans="1:17" x14ac:dyDescent="0.2">
      <c r="A9" t="s">
        <v>71</v>
      </c>
      <c r="B9">
        <v>4.7</v>
      </c>
      <c r="C9">
        <v>2.0099999999999998</v>
      </c>
      <c r="D9">
        <v>5.5</v>
      </c>
      <c r="E9">
        <v>0.79999999999999982</v>
      </c>
      <c r="F9">
        <v>3.12</v>
      </c>
      <c r="G9">
        <v>1.1100000000000003</v>
      </c>
      <c r="H9" t="s">
        <v>41</v>
      </c>
      <c r="J9" t="s">
        <v>71</v>
      </c>
      <c r="K9">
        <v>4.8</v>
      </c>
      <c r="L9">
        <v>2.8</v>
      </c>
      <c r="M9">
        <v>4.9000000000000004</v>
      </c>
      <c r="N9">
        <v>0.10000000000000053</v>
      </c>
      <c r="O9">
        <v>2.9</v>
      </c>
      <c r="P9">
        <v>0.10000000000000009</v>
      </c>
      <c r="Q9" t="s">
        <v>44</v>
      </c>
    </row>
    <row r="10" spans="1:17" x14ac:dyDescent="0.2">
      <c r="A10" t="s">
        <v>67</v>
      </c>
      <c r="B10">
        <v>5.5</v>
      </c>
      <c r="C10">
        <v>3.54</v>
      </c>
      <c r="D10">
        <v>6</v>
      </c>
      <c r="E10">
        <v>0.5</v>
      </c>
      <c r="F10">
        <v>4.2</v>
      </c>
      <c r="G10">
        <v>0.66000000000000014</v>
      </c>
      <c r="H10" t="s">
        <v>41</v>
      </c>
      <c r="J10" t="s">
        <v>67</v>
      </c>
      <c r="K10">
        <v>4.5999999999999996</v>
      </c>
      <c r="L10">
        <v>1.73</v>
      </c>
      <c r="M10">
        <v>4.5</v>
      </c>
      <c r="N10">
        <v>-9.9999999999999645E-2</v>
      </c>
      <c r="O10">
        <v>1.7</v>
      </c>
      <c r="P10">
        <v>-3.0000000000000027E-2</v>
      </c>
      <c r="Q10" t="s">
        <v>44</v>
      </c>
    </row>
    <row r="11" spans="1:17" x14ac:dyDescent="0.2">
      <c r="A11" t="s">
        <v>98</v>
      </c>
      <c r="B11">
        <v>5.3</v>
      </c>
      <c r="C11">
        <v>3.1</v>
      </c>
      <c r="D11">
        <v>7.4</v>
      </c>
      <c r="E11">
        <v>2.1000000000000005</v>
      </c>
      <c r="F11">
        <v>8.61</v>
      </c>
      <c r="G11">
        <v>5.51</v>
      </c>
      <c r="H11" t="s">
        <v>41</v>
      </c>
      <c r="J11" t="s">
        <v>98</v>
      </c>
      <c r="K11">
        <v>5</v>
      </c>
      <c r="L11">
        <v>2.75</v>
      </c>
      <c r="M11">
        <v>5.2</v>
      </c>
      <c r="N11">
        <v>0.20000000000000018</v>
      </c>
      <c r="O11">
        <v>2.63</v>
      </c>
      <c r="P11">
        <v>-0.12000000000000011</v>
      </c>
      <c r="Q11" t="s">
        <v>44</v>
      </c>
    </row>
    <row r="12" spans="1:17" x14ac:dyDescent="0.2">
      <c r="A12" t="s">
        <v>54</v>
      </c>
      <c r="B12">
        <v>6.1</v>
      </c>
      <c r="C12">
        <v>4</v>
      </c>
      <c r="D12">
        <v>6.4</v>
      </c>
      <c r="E12">
        <v>0.30000000000000071</v>
      </c>
      <c r="F12">
        <v>5.22</v>
      </c>
      <c r="G12">
        <v>1.2199999999999998</v>
      </c>
      <c r="H12" t="s">
        <v>41</v>
      </c>
      <c r="J12" t="s">
        <v>54</v>
      </c>
      <c r="K12">
        <v>5.2</v>
      </c>
      <c r="L12">
        <v>2.48</v>
      </c>
      <c r="M12">
        <v>5.3</v>
      </c>
      <c r="N12">
        <v>9.9999999999999645E-2</v>
      </c>
      <c r="O12">
        <v>2.57</v>
      </c>
      <c r="P12">
        <v>8.9999999999999858E-2</v>
      </c>
      <c r="Q12" t="s">
        <v>44</v>
      </c>
    </row>
    <row r="13" spans="1:17" x14ac:dyDescent="0.2">
      <c r="A13" t="s">
        <v>46</v>
      </c>
      <c r="B13">
        <v>5.8</v>
      </c>
      <c r="C13">
        <v>3.74</v>
      </c>
      <c r="D13">
        <v>5.7</v>
      </c>
      <c r="E13">
        <v>-9.9999999999999645E-2</v>
      </c>
      <c r="F13">
        <v>3.6</v>
      </c>
      <c r="G13">
        <v>-0.14000000000000012</v>
      </c>
      <c r="H13" t="s">
        <v>41</v>
      </c>
      <c r="J13" t="s">
        <v>46</v>
      </c>
      <c r="K13">
        <v>4.9000000000000004</v>
      </c>
      <c r="L13">
        <v>2.1</v>
      </c>
      <c r="M13">
        <v>4.9000000000000004</v>
      </c>
      <c r="N13">
        <v>0</v>
      </c>
      <c r="O13">
        <v>2.14</v>
      </c>
      <c r="P13">
        <v>4.0000000000000036E-2</v>
      </c>
      <c r="Q13" t="s">
        <v>44</v>
      </c>
    </row>
    <row r="14" spans="1:17" x14ac:dyDescent="0.2">
      <c r="A14" t="s">
        <v>49</v>
      </c>
      <c r="B14">
        <v>5.4</v>
      </c>
      <c r="C14">
        <v>3.1</v>
      </c>
      <c r="D14">
        <v>5.5</v>
      </c>
      <c r="E14">
        <v>9.9999999999999645E-2</v>
      </c>
      <c r="F14">
        <v>3.43</v>
      </c>
      <c r="G14">
        <v>0.33000000000000007</v>
      </c>
      <c r="H14" t="s">
        <v>41</v>
      </c>
      <c r="J14" t="s">
        <v>49</v>
      </c>
      <c r="K14">
        <v>5</v>
      </c>
      <c r="L14">
        <v>2.41</v>
      </c>
      <c r="M14">
        <v>5</v>
      </c>
      <c r="N14">
        <v>0</v>
      </c>
      <c r="O14">
        <v>2.4500000000000002</v>
      </c>
      <c r="P14">
        <v>4.0000000000000036E-2</v>
      </c>
      <c r="Q14" t="s">
        <v>44</v>
      </c>
    </row>
    <row r="15" spans="1:17" x14ac:dyDescent="0.2">
      <c r="A15" t="s">
        <v>58</v>
      </c>
      <c r="B15">
        <v>5</v>
      </c>
      <c r="C15">
        <v>2.41</v>
      </c>
      <c r="D15">
        <v>5.4</v>
      </c>
      <c r="E15">
        <v>0.40000000000000036</v>
      </c>
      <c r="F15">
        <v>3.6</v>
      </c>
      <c r="G15">
        <v>1.19</v>
      </c>
      <c r="H15" t="s">
        <v>41</v>
      </c>
      <c r="J15" t="s">
        <v>58</v>
      </c>
      <c r="K15">
        <v>5</v>
      </c>
      <c r="L15">
        <v>2.31</v>
      </c>
      <c r="M15">
        <v>4.9000000000000004</v>
      </c>
      <c r="N15">
        <v>-9.9999999999999645E-2</v>
      </c>
      <c r="O15">
        <v>2.2400000000000002</v>
      </c>
      <c r="P15">
        <v>-6.999999999999984E-2</v>
      </c>
      <c r="Q15" t="s">
        <v>44</v>
      </c>
    </row>
    <row r="16" spans="1:17" x14ac:dyDescent="0.2">
      <c r="A16" t="s">
        <v>97</v>
      </c>
      <c r="B16">
        <v>5.0999999999999996</v>
      </c>
      <c r="C16">
        <v>2.96</v>
      </c>
      <c r="D16">
        <v>7.5</v>
      </c>
      <c r="E16">
        <v>2.4000000000000004</v>
      </c>
      <c r="F16">
        <v>9.26</v>
      </c>
      <c r="G16">
        <v>6.3</v>
      </c>
      <c r="H16" t="s">
        <v>41</v>
      </c>
      <c r="J16" t="s">
        <v>97</v>
      </c>
      <c r="K16">
        <v>4.7</v>
      </c>
      <c r="L16">
        <v>1.92</v>
      </c>
      <c r="M16">
        <v>4.9000000000000004</v>
      </c>
      <c r="N16">
        <v>0.20000000000000018</v>
      </c>
      <c r="O16">
        <v>2.13</v>
      </c>
      <c r="P16">
        <v>0.20999999999999996</v>
      </c>
      <c r="Q16" t="s">
        <v>44</v>
      </c>
    </row>
    <row r="17" spans="1:17" x14ac:dyDescent="0.2">
      <c r="A17" t="s">
        <v>40</v>
      </c>
      <c r="B17">
        <v>5.5</v>
      </c>
      <c r="C17">
        <v>3.04</v>
      </c>
      <c r="D17">
        <v>5.6</v>
      </c>
      <c r="E17">
        <v>9.9999999999999645E-2</v>
      </c>
      <c r="F17">
        <v>3.32</v>
      </c>
      <c r="G17">
        <v>0.2799999999999998</v>
      </c>
      <c r="H17" t="s">
        <v>41</v>
      </c>
      <c r="J17" t="s">
        <v>40</v>
      </c>
      <c r="K17">
        <v>5.2</v>
      </c>
      <c r="L17">
        <v>2.81</v>
      </c>
      <c r="M17">
        <v>5.3</v>
      </c>
      <c r="N17">
        <v>9.9999999999999645E-2</v>
      </c>
      <c r="O17">
        <v>2.91</v>
      </c>
      <c r="P17">
        <v>0.10000000000000009</v>
      </c>
      <c r="Q17" t="s">
        <v>44</v>
      </c>
    </row>
  </sheetData>
  <sortState xmlns:xlrd2="http://schemas.microsoft.com/office/spreadsheetml/2017/richdata2" ref="A2:H47">
    <sortCondition ref="H2:H47"/>
    <sortCondition ref="A2:A47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7"/>
  <sheetViews>
    <sheetView workbookViewId="0">
      <selection activeCell="N23" sqref="N23"/>
    </sheetView>
  </sheetViews>
  <sheetFormatPr baseColWidth="10" defaultColWidth="8.83203125" defaultRowHeight="15" x14ac:dyDescent="0.2"/>
  <sheetData>
    <row r="1" spans="1:10" x14ac:dyDescent="0.2">
      <c r="A1" t="s">
        <v>0</v>
      </c>
      <c r="B1" t="s">
        <v>3</v>
      </c>
      <c r="C1" t="s">
        <v>105</v>
      </c>
      <c r="D1" t="s">
        <v>106</v>
      </c>
      <c r="E1" t="s">
        <v>107</v>
      </c>
      <c r="F1" t="s">
        <v>10</v>
      </c>
      <c r="I1" t="s">
        <v>108</v>
      </c>
      <c r="J1" t="s">
        <v>11</v>
      </c>
    </row>
    <row r="2" spans="1:10" x14ac:dyDescent="0.2">
      <c r="A2" t="s">
        <v>38</v>
      </c>
      <c r="B2" t="s">
        <v>34</v>
      </c>
      <c r="C2">
        <v>0.75</v>
      </c>
      <c r="D2">
        <v>9.9999999999999645E-2</v>
      </c>
      <c r="E2">
        <v>0.2799999999999998</v>
      </c>
      <c r="F2" t="s">
        <v>41</v>
      </c>
      <c r="I2">
        <v>3247150</v>
      </c>
      <c r="J2">
        <v>0.50529999999999997</v>
      </c>
    </row>
    <row r="3" spans="1:10" x14ac:dyDescent="0.2">
      <c r="A3" t="s">
        <v>45</v>
      </c>
      <c r="B3" t="s">
        <v>34</v>
      </c>
      <c r="C3">
        <v>0.75</v>
      </c>
      <c r="D3">
        <v>0</v>
      </c>
      <c r="E3">
        <v>-0.14000000000000012</v>
      </c>
      <c r="F3" t="s">
        <v>41</v>
      </c>
      <c r="I3">
        <v>1827416.66666667</v>
      </c>
      <c r="J3">
        <v>0.21304200000000001</v>
      </c>
    </row>
    <row r="4" spans="1:10" x14ac:dyDescent="0.2">
      <c r="A4" t="s">
        <v>50</v>
      </c>
      <c r="B4" t="s">
        <v>34</v>
      </c>
      <c r="C4">
        <v>0.75</v>
      </c>
      <c r="D4">
        <v>9.9999999999999645E-2</v>
      </c>
      <c r="E4">
        <v>0.33000000000000007</v>
      </c>
      <c r="F4" t="s">
        <v>41</v>
      </c>
      <c r="I4">
        <v>4103847.6666666665</v>
      </c>
      <c r="J4">
        <v>0.51592499999999997</v>
      </c>
    </row>
    <row r="5" spans="1:10" x14ac:dyDescent="0.2">
      <c r="A5" t="s">
        <v>79</v>
      </c>
      <c r="B5" t="s">
        <v>34</v>
      </c>
      <c r="C5">
        <v>0.75</v>
      </c>
      <c r="D5">
        <v>0.20000000000000018</v>
      </c>
      <c r="E5">
        <v>0.21999999999999975</v>
      </c>
      <c r="F5" t="s">
        <v>41</v>
      </c>
      <c r="I5">
        <v>3338820</v>
      </c>
      <c r="J5">
        <v>0.49557099999999998</v>
      </c>
    </row>
    <row r="6" spans="1:10" x14ac:dyDescent="0.2">
      <c r="A6" t="s">
        <v>81</v>
      </c>
      <c r="B6" t="s">
        <v>34</v>
      </c>
      <c r="C6">
        <v>0.75</v>
      </c>
      <c r="D6">
        <v>0.39999999999999947</v>
      </c>
      <c r="E6">
        <v>0.61000000000000032</v>
      </c>
      <c r="F6" t="s">
        <v>41</v>
      </c>
      <c r="I6">
        <v>4721606.666666667</v>
      </c>
      <c r="J6">
        <v>0.51722363199999999</v>
      </c>
    </row>
    <row r="7" spans="1:10" x14ac:dyDescent="0.2">
      <c r="A7" t="s">
        <v>84</v>
      </c>
      <c r="B7" t="s">
        <v>34</v>
      </c>
      <c r="C7">
        <v>0.75</v>
      </c>
      <c r="D7">
        <v>9.9999999999999645E-2</v>
      </c>
      <c r="E7">
        <v>0.3400000000000003</v>
      </c>
      <c r="F7" t="s">
        <v>41</v>
      </c>
      <c r="I7">
        <v>4240711</v>
      </c>
      <c r="J7">
        <v>0.49557095499999998</v>
      </c>
    </row>
    <row r="8" spans="1:10" x14ac:dyDescent="0.2">
      <c r="A8" t="s">
        <v>51</v>
      </c>
      <c r="B8" t="s">
        <v>52</v>
      </c>
      <c r="C8">
        <v>6</v>
      </c>
      <c r="D8">
        <v>0.30000000000000071</v>
      </c>
      <c r="E8">
        <v>1.2199999999999998</v>
      </c>
      <c r="F8" t="s">
        <v>41</v>
      </c>
      <c r="I8">
        <v>1929856.6666666667</v>
      </c>
      <c r="J8">
        <v>0.51923428500000002</v>
      </c>
    </row>
    <row r="9" spans="1:10" x14ac:dyDescent="0.2">
      <c r="A9" t="s">
        <v>57</v>
      </c>
      <c r="B9" t="s">
        <v>52</v>
      </c>
      <c r="C9">
        <v>6</v>
      </c>
      <c r="D9">
        <v>0.40000000000000036</v>
      </c>
      <c r="E9">
        <v>1.19</v>
      </c>
      <c r="F9" t="s">
        <v>41</v>
      </c>
      <c r="I9">
        <v>1762730</v>
      </c>
      <c r="J9">
        <v>0.48608180299999998</v>
      </c>
    </row>
    <row r="10" spans="1:10" x14ac:dyDescent="0.2">
      <c r="A10" t="s">
        <v>60</v>
      </c>
      <c r="B10" t="s">
        <v>52</v>
      </c>
      <c r="C10">
        <v>6</v>
      </c>
      <c r="D10">
        <v>0.39999999999999947</v>
      </c>
      <c r="E10">
        <v>1.46</v>
      </c>
      <c r="F10" t="s">
        <v>41</v>
      </c>
    </row>
    <row r="11" spans="1:10" x14ac:dyDescent="0.2">
      <c r="A11" t="s">
        <v>62</v>
      </c>
      <c r="B11" t="s">
        <v>52</v>
      </c>
      <c r="C11">
        <v>6</v>
      </c>
      <c r="D11">
        <v>0.90000000000000036</v>
      </c>
      <c r="E11">
        <v>2.2999999999999998</v>
      </c>
      <c r="F11" t="s">
        <v>41</v>
      </c>
      <c r="I11">
        <v>3529156.6666666665</v>
      </c>
      <c r="J11">
        <v>0.38501191099999998</v>
      </c>
    </row>
    <row r="12" spans="1:10" x14ac:dyDescent="0.2">
      <c r="A12" t="s">
        <v>68</v>
      </c>
      <c r="B12" t="s">
        <v>65</v>
      </c>
      <c r="C12">
        <v>12</v>
      </c>
      <c r="D12">
        <v>0.5</v>
      </c>
      <c r="E12">
        <v>0.66000000000000014</v>
      </c>
      <c r="F12" t="s">
        <v>41</v>
      </c>
      <c r="I12">
        <v>2617773.9</v>
      </c>
      <c r="J12">
        <v>0.37145102600000002</v>
      </c>
    </row>
    <row r="13" spans="1:10" x14ac:dyDescent="0.2">
      <c r="A13" t="s">
        <v>72</v>
      </c>
      <c r="B13" t="s">
        <v>65</v>
      </c>
      <c r="C13">
        <v>12</v>
      </c>
      <c r="D13">
        <v>0.79999999999999982</v>
      </c>
      <c r="E13">
        <v>1.1100000000000003</v>
      </c>
      <c r="F13" t="s">
        <v>41</v>
      </c>
      <c r="I13">
        <v>2864775.3333333335</v>
      </c>
      <c r="J13">
        <v>0.238149579</v>
      </c>
    </row>
    <row r="14" spans="1:10" x14ac:dyDescent="0.2">
      <c r="A14" t="s">
        <v>75</v>
      </c>
      <c r="B14" t="s">
        <v>65</v>
      </c>
      <c r="C14">
        <v>12</v>
      </c>
      <c r="D14">
        <v>0.80000000000000071</v>
      </c>
      <c r="E14">
        <v>2.15</v>
      </c>
      <c r="F14" t="s">
        <v>41</v>
      </c>
      <c r="I14">
        <v>3317513.3333333335</v>
      </c>
      <c r="J14">
        <v>0.19047191899999999</v>
      </c>
    </row>
    <row r="15" spans="1:10" x14ac:dyDescent="0.2">
      <c r="A15" t="s">
        <v>77</v>
      </c>
      <c r="B15" t="s">
        <v>65</v>
      </c>
      <c r="C15">
        <v>12</v>
      </c>
      <c r="D15">
        <v>0.70000000000000018</v>
      </c>
      <c r="E15">
        <v>1.4299999999999997</v>
      </c>
      <c r="F15" t="s">
        <v>41</v>
      </c>
      <c r="I15">
        <v>3990022.6666666665</v>
      </c>
      <c r="J15">
        <v>0.27843637900000001</v>
      </c>
    </row>
    <row r="16" spans="1:10" x14ac:dyDescent="0.2">
      <c r="A16" t="s">
        <v>99</v>
      </c>
      <c r="B16" t="s">
        <v>96</v>
      </c>
      <c r="C16">
        <v>36</v>
      </c>
      <c r="D16">
        <v>2.4000000000000004</v>
      </c>
      <c r="E16">
        <v>6.3</v>
      </c>
      <c r="F16" t="s">
        <v>41</v>
      </c>
      <c r="J16">
        <v>0.25701329299999998</v>
      </c>
    </row>
    <row r="17" spans="1:10" x14ac:dyDescent="0.2">
      <c r="A17" t="s">
        <v>101</v>
      </c>
      <c r="B17" t="s">
        <v>96</v>
      </c>
      <c r="C17">
        <v>36</v>
      </c>
      <c r="D17">
        <v>2.1000000000000005</v>
      </c>
      <c r="E17">
        <v>5.51</v>
      </c>
      <c r="F17" t="s">
        <v>41</v>
      </c>
      <c r="I17">
        <v>3712503.3333333335</v>
      </c>
      <c r="J17">
        <v>0.52052556900000002</v>
      </c>
    </row>
    <row r="18" spans="1:10" x14ac:dyDescent="0.2">
      <c r="A18" t="s">
        <v>42</v>
      </c>
      <c r="B18" t="s">
        <v>34</v>
      </c>
      <c r="C18">
        <v>0.75</v>
      </c>
      <c r="D18">
        <v>9.9999999999999645E-2</v>
      </c>
      <c r="E18">
        <v>0.10000000000000009</v>
      </c>
      <c r="F18" t="s">
        <v>44</v>
      </c>
      <c r="I18">
        <v>1450263.3333333333</v>
      </c>
      <c r="J18">
        <v>9.0421546000000005E-2</v>
      </c>
    </row>
    <row r="19" spans="1:10" x14ac:dyDescent="0.2">
      <c r="A19" t="s">
        <v>47</v>
      </c>
      <c r="B19" t="s">
        <v>34</v>
      </c>
      <c r="C19">
        <v>0.75</v>
      </c>
      <c r="D19">
        <v>0</v>
      </c>
      <c r="E19">
        <v>4.0000000000000036E-2</v>
      </c>
      <c r="F19" t="s">
        <v>44</v>
      </c>
      <c r="I19">
        <v>2604966.3333333335</v>
      </c>
      <c r="J19">
        <v>0.14100915999999999</v>
      </c>
    </row>
    <row r="20" spans="1:10" x14ac:dyDescent="0.2">
      <c r="A20" t="s">
        <v>48</v>
      </c>
      <c r="B20" t="s">
        <v>34</v>
      </c>
      <c r="C20">
        <v>0.75</v>
      </c>
      <c r="D20">
        <v>0</v>
      </c>
      <c r="E20">
        <v>4.0000000000000036E-2</v>
      </c>
      <c r="F20" t="s">
        <v>44</v>
      </c>
      <c r="I20">
        <v>1575293.3333333333</v>
      </c>
      <c r="J20">
        <v>0.32169892999999999</v>
      </c>
    </row>
    <row r="21" spans="1:10" x14ac:dyDescent="0.2">
      <c r="A21" t="s">
        <v>80</v>
      </c>
      <c r="B21" t="s">
        <v>34</v>
      </c>
      <c r="C21">
        <v>0.75</v>
      </c>
      <c r="D21">
        <v>0</v>
      </c>
      <c r="E21">
        <v>-0.16000000000000014</v>
      </c>
      <c r="F21" t="s">
        <v>44</v>
      </c>
      <c r="I21">
        <v>3355550.6666666665</v>
      </c>
      <c r="J21">
        <v>0.23609560800000001</v>
      </c>
    </row>
    <row r="22" spans="1:10" x14ac:dyDescent="0.2">
      <c r="A22" t="s">
        <v>82</v>
      </c>
      <c r="B22" t="s">
        <v>34</v>
      </c>
      <c r="C22">
        <v>0.75</v>
      </c>
      <c r="D22">
        <v>0</v>
      </c>
      <c r="E22">
        <v>0.22999999999999998</v>
      </c>
      <c r="F22" t="s">
        <v>44</v>
      </c>
      <c r="I22">
        <v>5727076.333333333</v>
      </c>
      <c r="J22">
        <v>0.52563673399999999</v>
      </c>
    </row>
    <row r="23" spans="1:10" x14ac:dyDescent="0.2">
      <c r="A23" t="s">
        <v>83</v>
      </c>
      <c r="B23" t="s">
        <v>34</v>
      </c>
      <c r="C23">
        <v>0.75</v>
      </c>
      <c r="D23">
        <v>9.9999999999999645E-2</v>
      </c>
      <c r="E23">
        <v>-6.0000000000000053E-2</v>
      </c>
      <c r="F23" t="s">
        <v>44</v>
      </c>
    </row>
    <row r="24" spans="1:10" x14ac:dyDescent="0.2">
      <c r="A24" t="s">
        <v>55</v>
      </c>
      <c r="B24" t="s">
        <v>52</v>
      </c>
      <c r="C24">
        <v>6</v>
      </c>
      <c r="D24">
        <v>9.9999999999999645E-2</v>
      </c>
      <c r="E24">
        <v>8.9999999999999858E-2</v>
      </c>
      <c r="F24" t="s">
        <v>44</v>
      </c>
      <c r="I24">
        <v>2457673.3333333335</v>
      </c>
      <c r="J24">
        <v>8.1408392999999996E-2</v>
      </c>
    </row>
    <row r="25" spans="1:10" x14ac:dyDescent="0.2">
      <c r="A25" t="s">
        <v>59</v>
      </c>
      <c r="B25" t="s">
        <v>52</v>
      </c>
      <c r="C25">
        <v>6</v>
      </c>
      <c r="D25">
        <v>0</v>
      </c>
      <c r="E25">
        <v>-6.999999999999984E-2</v>
      </c>
      <c r="F25" t="s">
        <v>44</v>
      </c>
      <c r="I25">
        <v>2018906.3333333333</v>
      </c>
      <c r="J25">
        <v>3.2741929000000003E-2</v>
      </c>
    </row>
    <row r="26" spans="1:10" x14ac:dyDescent="0.2">
      <c r="A26" t="s">
        <v>61</v>
      </c>
      <c r="B26" t="s">
        <v>52</v>
      </c>
      <c r="C26">
        <v>6</v>
      </c>
      <c r="D26">
        <v>0.40000000000000036</v>
      </c>
      <c r="E26">
        <v>0.74000000000000021</v>
      </c>
      <c r="F26" t="s">
        <v>44</v>
      </c>
      <c r="I26">
        <v>3436486.6666666665</v>
      </c>
      <c r="J26">
        <v>0.48783319759264576</v>
      </c>
    </row>
    <row r="27" spans="1:10" x14ac:dyDescent="0.2">
      <c r="A27" t="s">
        <v>63</v>
      </c>
      <c r="B27" t="s">
        <v>52</v>
      </c>
      <c r="C27">
        <v>6</v>
      </c>
      <c r="D27">
        <v>9.9999999999999645E-2</v>
      </c>
      <c r="E27">
        <v>0.39000000000000012</v>
      </c>
      <c r="F27" t="s">
        <v>44</v>
      </c>
      <c r="I27">
        <v>2403543.3333333335</v>
      </c>
      <c r="J27">
        <v>0.39664737661201888</v>
      </c>
    </row>
    <row r="28" spans="1:10" x14ac:dyDescent="0.2">
      <c r="A28" t="s">
        <v>64</v>
      </c>
      <c r="B28" t="s">
        <v>65</v>
      </c>
      <c r="C28">
        <v>12</v>
      </c>
      <c r="D28">
        <v>0</v>
      </c>
      <c r="E28">
        <v>-3.0000000000000027E-2</v>
      </c>
      <c r="F28" t="s">
        <v>44</v>
      </c>
      <c r="I28">
        <v>3234357.3333333335</v>
      </c>
      <c r="J28">
        <v>0.56043882312830473</v>
      </c>
    </row>
    <row r="29" spans="1:10" x14ac:dyDescent="0.2">
      <c r="A29" t="s">
        <v>70</v>
      </c>
      <c r="B29" t="s">
        <v>65</v>
      </c>
      <c r="C29">
        <v>12</v>
      </c>
      <c r="D29">
        <v>0.10000000000000053</v>
      </c>
      <c r="E29">
        <v>0.10000000000000009</v>
      </c>
      <c r="F29" t="s">
        <v>44</v>
      </c>
      <c r="I29">
        <v>3232888.1999999997</v>
      </c>
      <c r="J29">
        <v>0.5563237362983563</v>
      </c>
    </row>
    <row r="30" spans="1:10" x14ac:dyDescent="0.2">
      <c r="A30" t="s">
        <v>73</v>
      </c>
      <c r="B30" t="s">
        <v>65</v>
      </c>
      <c r="C30">
        <v>12</v>
      </c>
      <c r="D30">
        <v>0.40000000000000036</v>
      </c>
      <c r="E30">
        <v>0.70000000000000018</v>
      </c>
      <c r="F30" t="s">
        <v>44</v>
      </c>
      <c r="I30">
        <v>2421146.6666666665</v>
      </c>
      <c r="J30">
        <v>0.63596152398734662</v>
      </c>
    </row>
    <row r="31" spans="1:10" x14ac:dyDescent="0.2">
      <c r="A31" t="s">
        <v>78</v>
      </c>
      <c r="B31" t="s">
        <v>65</v>
      </c>
      <c r="C31">
        <v>12</v>
      </c>
      <c r="D31">
        <v>0</v>
      </c>
      <c r="E31">
        <v>-1.0000000000000009E-2</v>
      </c>
      <c r="F31" t="s">
        <v>44</v>
      </c>
      <c r="I31">
        <v>1668563.3333333333</v>
      </c>
      <c r="J31">
        <v>0.42476553930414629</v>
      </c>
    </row>
    <row r="32" spans="1:10" x14ac:dyDescent="0.2">
      <c r="A32" t="s">
        <v>100</v>
      </c>
      <c r="B32" t="s">
        <v>96</v>
      </c>
      <c r="C32">
        <v>36</v>
      </c>
      <c r="D32">
        <v>0.20000000000000018</v>
      </c>
      <c r="E32">
        <v>0.20999999999999996</v>
      </c>
      <c r="F32" t="s">
        <v>44</v>
      </c>
    </row>
    <row r="33" spans="1:10" x14ac:dyDescent="0.2">
      <c r="A33" t="s">
        <v>102</v>
      </c>
      <c r="B33" t="s">
        <v>96</v>
      </c>
      <c r="C33">
        <v>36</v>
      </c>
      <c r="D33">
        <v>0.20000000000000018</v>
      </c>
      <c r="E33">
        <v>-0.12000000000000011</v>
      </c>
      <c r="F33" t="s">
        <v>44</v>
      </c>
      <c r="I33">
        <v>2527026.6666666665</v>
      </c>
      <c r="J33">
        <v>0.69299999999999995</v>
      </c>
    </row>
    <row r="36" spans="1:10" x14ac:dyDescent="0.2">
      <c r="I36">
        <v>7223012.333333333</v>
      </c>
      <c r="J36">
        <v>0.7450851557049134</v>
      </c>
    </row>
    <row r="37" spans="1:10" x14ac:dyDescent="0.2">
      <c r="I37">
        <v>3561143.3333333335</v>
      </c>
      <c r="J37">
        <v>0.7098486077940277</v>
      </c>
    </row>
    <row r="38" spans="1:10" x14ac:dyDescent="0.2">
      <c r="I38">
        <v>4794947.333333333</v>
      </c>
      <c r="J38">
        <v>0.75446965011997014</v>
      </c>
    </row>
    <row r="40" spans="1:10" x14ac:dyDescent="0.2">
      <c r="I40">
        <v>5718933.333333333</v>
      </c>
      <c r="J40">
        <v>0.86570000000000003</v>
      </c>
    </row>
    <row r="41" spans="1:10" x14ac:dyDescent="0.2">
      <c r="I41">
        <v>4871766.666666667</v>
      </c>
      <c r="J41">
        <v>0.65900000000000003</v>
      </c>
    </row>
    <row r="42" spans="1:10" x14ac:dyDescent="0.2">
      <c r="I42">
        <v>4760830</v>
      </c>
      <c r="J42">
        <v>0.64449999999999996</v>
      </c>
    </row>
    <row r="43" spans="1:10" x14ac:dyDescent="0.2">
      <c r="I43">
        <v>5328631.5333333332</v>
      </c>
      <c r="J43">
        <v>0.64700000000000002</v>
      </c>
    </row>
    <row r="45" spans="1:10" x14ac:dyDescent="0.2">
      <c r="I45">
        <v>1239303.3333333333</v>
      </c>
      <c r="J45">
        <v>0.17411149299118053</v>
      </c>
    </row>
    <row r="47" spans="1:10" x14ac:dyDescent="0.2">
      <c r="I47">
        <v>3124796.6666666665</v>
      </c>
      <c r="J47">
        <v>0.27252876024243161</v>
      </c>
    </row>
  </sheetData>
  <sortState xmlns:xlrd2="http://schemas.microsoft.com/office/spreadsheetml/2017/richdata2" ref="A2:F74">
    <sortCondition ref="F2:F74"/>
    <sortCondition ref="C2:C74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dataall</vt:lpstr>
      <vt:lpstr>Sheet3</vt:lpstr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jrhodes0326</dc:creator>
  <cp:lastModifiedBy>Graham, Gabe</cp:lastModifiedBy>
  <dcterms:created xsi:type="dcterms:W3CDTF">2018-08-10T16:07:56Z</dcterms:created>
  <dcterms:modified xsi:type="dcterms:W3CDTF">2025-12-14T00:07:23Z</dcterms:modified>
</cp:coreProperties>
</file>